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F4499BBC-C50B-8ECA-441A-04C5B9BE7170}"/>
  <workbookPr filterPrivacy="1" codeName="ThisWorkbook" defaultThemeVersion="124226"/>
  <xr:revisionPtr revIDLastSave="0" documentId="13_ncr:1_{993A80CE-D8D3-4AC8-BB4D-EEDC06879BD0}" xr6:coauthVersionLast="47" xr6:coauthVersionMax="47" xr10:uidLastSave="{00000000-0000-0000-0000-000000000000}"/>
  <bookViews>
    <workbookView xWindow="5268" yWindow="3144" windowWidth="17280" windowHeight="8880" activeTab="1" xr2:uid="{00000000-000D-0000-FFFF-FFFF00000000}"/>
  </bookViews>
  <sheets>
    <sheet name="FINAL RETURN" sheetId="5" r:id="rId1"/>
    <sheet name="CT" sheetId="12" r:id="rId2"/>
    <sheet name="WDT" sheetId="10" r:id="rId3"/>
    <sheet name="Jurisdiction_Abb" sheetId="6" state="hidden" r:id="rId4"/>
    <sheet name="Tax_Rate" sheetId="7" state="hidden" r:id="rId5"/>
    <sheet name="Fuel and Mileage Auto Entries" sheetId="8" r:id="rId6"/>
    <sheet name="PERCENTAGE ADJUSTER" sheetId="11" r:id="rId7"/>
  </sheets>
  <definedNames>
    <definedName name="_xlnm.Print_Titles" localSheetId="0">'FINAL RETURN'!$4:$13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3" i="11" l="1"/>
  <c r="P47" i="11" l="1"/>
  <c r="I130" i="11"/>
  <c r="Q118" i="11"/>
  <c r="P112" i="11"/>
  <c r="P96" i="11"/>
  <c r="L3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M51" i="8" s="1"/>
  <c r="I63" i="5" s="1"/>
  <c r="L52" i="8"/>
  <c r="M52" i="8" s="1"/>
  <c r="I64" i="5" s="1"/>
  <c r="L53" i="8"/>
  <c r="M53" i="8" s="1"/>
  <c r="I65" i="5" s="1"/>
  <c r="L54" i="8"/>
  <c r="M54" i="8" s="1"/>
  <c r="I66" i="5" s="1"/>
  <c r="L55" i="8"/>
  <c r="M55" i="8" s="1"/>
  <c r="I67" i="5" s="1"/>
  <c r="L56" i="8"/>
  <c r="M56" i="8" s="1"/>
  <c r="I68" i="5" s="1"/>
  <c r="L57" i="8"/>
  <c r="M57" i="8" s="1"/>
  <c r="I69" i="5" s="1"/>
  <c r="L58" i="8"/>
  <c r="M58" i="8" s="1"/>
  <c r="I70" i="5" s="1"/>
  <c r="L59" i="8"/>
  <c r="M59" i="8" s="1"/>
  <c r="I71" i="5" s="1"/>
  <c r="L60" i="8"/>
  <c r="M60" i="8" s="1"/>
  <c r="I72" i="5" s="1"/>
  <c r="L61" i="8"/>
  <c r="M61" i="8" s="1"/>
  <c r="I73" i="5" s="1"/>
  <c r="L62" i="8"/>
  <c r="M62" i="8" s="1"/>
  <c r="I74" i="5" s="1"/>
  <c r="L63" i="8"/>
  <c r="M63" i="8" s="1"/>
  <c r="I75" i="5" s="1"/>
  <c r="L64" i="8"/>
  <c r="M64" i="8" s="1"/>
  <c r="I76" i="5" s="1"/>
  <c r="L4" i="8"/>
  <c r="J3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K50" i="8" s="1"/>
  <c r="F62" i="5" s="1"/>
  <c r="J51" i="8"/>
  <c r="K51" i="8" s="1"/>
  <c r="F63" i="5" s="1"/>
  <c r="J52" i="8"/>
  <c r="K52" i="8" s="1"/>
  <c r="F64" i="5" s="1"/>
  <c r="J53" i="8"/>
  <c r="K53" i="8" s="1"/>
  <c r="F65" i="5" s="1"/>
  <c r="J54" i="8"/>
  <c r="K54" i="8" s="1"/>
  <c r="F66" i="5" s="1"/>
  <c r="J55" i="8"/>
  <c r="K55" i="8" s="1"/>
  <c r="F67" i="5" s="1"/>
  <c r="J56" i="8"/>
  <c r="K56" i="8" s="1"/>
  <c r="F68" i="5" s="1"/>
  <c r="J57" i="8"/>
  <c r="K57" i="8" s="1"/>
  <c r="F69" i="5" s="1"/>
  <c r="J58" i="8"/>
  <c r="K58" i="8" s="1"/>
  <c r="F70" i="5" s="1"/>
  <c r="J59" i="8"/>
  <c r="K59" i="8" s="1"/>
  <c r="F71" i="5" s="1"/>
  <c r="J60" i="8"/>
  <c r="K60" i="8" s="1"/>
  <c r="F72" i="5" s="1"/>
  <c r="J61" i="8"/>
  <c r="K61" i="8" s="1"/>
  <c r="F73" i="5" s="1"/>
  <c r="J62" i="8"/>
  <c r="K62" i="8" s="1"/>
  <c r="F74" i="5" s="1"/>
  <c r="J63" i="8"/>
  <c r="K63" i="8" s="1"/>
  <c r="F75" i="5" s="1"/>
  <c r="J64" i="8"/>
  <c r="K64" i="8" s="1"/>
  <c r="F76" i="5" s="1"/>
  <c r="J4" i="8"/>
  <c r="I65" i="11"/>
  <c r="P31" i="11"/>
  <c r="K28" i="8" l="1"/>
  <c r="K27" i="8"/>
  <c r="F39" i="5" s="1"/>
  <c r="K8" i="8"/>
  <c r="F20" i="5" s="1"/>
  <c r="K31" i="8"/>
  <c r="F43" i="5" s="1"/>
  <c r="K6" i="8"/>
  <c r="F18" i="5" s="1"/>
  <c r="K24" i="8"/>
  <c r="F36" i="5" s="1"/>
  <c r="K19" i="8"/>
  <c r="F31" i="5" s="1"/>
  <c r="K42" i="8"/>
  <c r="F54" i="5" s="1"/>
  <c r="K18" i="8"/>
  <c r="F30" i="5" s="1"/>
  <c r="K46" i="8"/>
  <c r="K43" i="8"/>
  <c r="F55" i="5" s="1"/>
  <c r="K7" i="8"/>
  <c r="F19" i="5" s="1"/>
  <c r="K49" i="8"/>
  <c r="F61" i="5" s="1"/>
  <c r="K45" i="8"/>
  <c r="F57" i="5" s="1"/>
  <c r="K40" i="8"/>
  <c r="F52" i="5" s="1"/>
  <c r="K16" i="8"/>
  <c r="F28" i="5" s="1"/>
  <c r="K5" i="8"/>
  <c r="F17" i="5" s="1"/>
  <c r="K47" i="8"/>
  <c r="F59" i="5" s="1"/>
  <c r="K20" i="8"/>
  <c r="F32" i="5" s="1"/>
  <c r="K41" i="8"/>
  <c r="F53" i="5" s="1"/>
  <c r="K17" i="8"/>
  <c r="F29" i="5" s="1"/>
  <c r="K39" i="8"/>
  <c r="F51" i="5" s="1"/>
  <c r="K15" i="8"/>
  <c r="F27" i="5" s="1"/>
  <c r="K38" i="8"/>
  <c r="F50" i="5" s="1"/>
  <c r="K14" i="8"/>
  <c r="F26" i="5" s="1"/>
  <c r="K25" i="8"/>
  <c r="F37" i="5" s="1"/>
  <c r="K21" i="8"/>
  <c r="F33" i="5" s="1"/>
  <c r="K13" i="8"/>
  <c r="F25" i="5" s="1"/>
  <c r="K32" i="8"/>
  <c r="F44" i="5" s="1"/>
  <c r="K30" i="8"/>
  <c r="F42" i="5" s="1"/>
  <c r="K29" i="8"/>
  <c r="F41" i="5" s="1"/>
  <c r="K48" i="8"/>
  <c r="F60" i="5" s="1"/>
  <c r="K44" i="8"/>
  <c r="F56" i="5" s="1"/>
  <c r="K37" i="8"/>
  <c r="F49" i="5" s="1"/>
  <c r="K36" i="8"/>
  <c r="F48" i="5" s="1"/>
  <c r="K12" i="8"/>
  <c r="F24" i="5" s="1"/>
  <c r="K26" i="8"/>
  <c r="F38" i="5" s="1"/>
  <c r="K23" i="8"/>
  <c r="F35" i="5" s="1"/>
  <c r="K35" i="8"/>
  <c r="F47" i="5" s="1"/>
  <c r="K34" i="8"/>
  <c r="F46" i="5" s="1"/>
  <c r="K10" i="8"/>
  <c r="F22" i="5" s="1"/>
  <c r="K22" i="8"/>
  <c r="F34" i="5" s="1"/>
  <c r="K11" i="8"/>
  <c r="F23" i="5" s="1"/>
  <c r="K33" i="8"/>
  <c r="F45" i="5" s="1"/>
  <c r="K9" i="8"/>
  <c r="F21" i="5" s="1"/>
  <c r="K4" i="8"/>
  <c r="F16" i="5" s="1"/>
  <c r="M50" i="8"/>
  <c r="I62" i="5" s="1"/>
  <c r="M45" i="8"/>
  <c r="I57" i="5" s="1"/>
  <c r="M43" i="8"/>
  <c r="I55" i="5" s="1"/>
  <c r="M19" i="8"/>
  <c r="I31" i="5" s="1"/>
  <c r="M42" i="8"/>
  <c r="I54" i="5" s="1"/>
  <c r="M18" i="8"/>
  <c r="I30" i="5" s="1"/>
  <c r="M4" i="8"/>
  <c r="I16" i="5" s="1"/>
  <c r="M41" i="8"/>
  <c r="I53" i="5" s="1"/>
  <c r="M17" i="8"/>
  <c r="I29" i="5" s="1"/>
  <c r="M40" i="8"/>
  <c r="I52" i="5" s="1"/>
  <c r="M16" i="8"/>
  <c r="I28" i="5" s="1"/>
  <c r="M39" i="8"/>
  <c r="I51" i="5" s="1"/>
  <c r="M15" i="8"/>
  <c r="I27" i="5" s="1"/>
  <c r="M38" i="8"/>
  <c r="I50" i="5" s="1"/>
  <c r="M14" i="8"/>
  <c r="I26" i="5" s="1"/>
  <c r="M37" i="8"/>
  <c r="I49" i="5" s="1"/>
  <c r="M13" i="8"/>
  <c r="I25" i="5" s="1"/>
  <c r="M36" i="8"/>
  <c r="I48" i="5" s="1"/>
  <c r="M12" i="8"/>
  <c r="I24" i="5" s="1"/>
  <c r="M35" i="8"/>
  <c r="I47" i="5" s="1"/>
  <c r="M11" i="8"/>
  <c r="I23" i="5" s="1"/>
  <c r="M34" i="8"/>
  <c r="I46" i="5" s="1"/>
  <c r="M10" i="8"/>
  <c r="I22" i="5" s="1"/>
  <c r="M33" i="8"/>
  <c r="I45" i="5" s="1"/>
  <c r="M9" i="8"/>
  <c r="I21" i="5" s="1"/>
  <c r="M22" i="8"/>
  <c r="I34" i="5" s="1"/>
  <c r="M44" i="8"/>
  <c r="I56" i="5" s="1"/>
  <c r="M32" i="8"/>
  <c r="I44" i="5" s="1"/>
  <c r="M8" i="8"/>
  <c r="I20" i="5" s="1"/>
  <c r="M20" i="8"/>
  <c r="I32" i="5" s="1"/>
  <c r="M31" i="8"/>
  <c r="I43" i="5" s="1"/>
  <c r="M7" i="8"/>
  <c r="I19" i="5" s="1"/>
  <c r="M30" i="8"/>
  <c r="I42" i="5" s="1"/>
  <c r="M6" i="8"/>
  <c r="I18" i="5" s="1"/>
  <c r="M29" i="8"/>
  <c r="I41" i="5" s="1"/>
  <c r="M5" i="8"/>
  <c r="I17" i="5" s="1"/>
  <c r="M28" i="8"/>
  <c r="I40" i="5" s="1"/>
  <c r="M21" i="8"/>
  <c r="I33" i="5" s="1"/>
  <c r="M27" i="8"/>
  <c r="I39" i="5" s="1"/>
  <c r="M46" i="8"/>
  <c r="M26" i="8"/>
  <c r="I38" i="5" s="1"/>
  <c r="M49" i="8"/>
  <c r="I61" i="5" s="1"/>
  <c r="M25" i="8"/>
  <c r="I37" i="5" s="1"/>
  <c r="M48" i="8"/>
  <c r="I60" i="5" s="1"/>
  <c r="M24" i="8"/>
  <c r="I36" i="5" s="1"/>
  <c r="M47" i="8"/>
  <c r="I59" i="5" s="1"/>
  <c r="M23" i="8"/>
  <c r="I35" i="5" s="1"/>
  <c r="C117" i="11"/>
  <c r="C116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B3" i="10"/>
  <c r="C5" i="11" l="1"/>
  <c r="C97" i="11"/>
  <c r="C106" i="11"/>
  <c r="C115" i="11"/>
  <c r="C69" i="11"/>
  <c r="C109" i="11"/>
  <c r="C84" i="11"/>
  <c r="C82" i="11"/>
  <c r="C104" i="11"/>
  <c r="C79" i="11"/>
  <c r="C103" i="11"/>
  <c r="C105" i="11"/>
  <c r="C83" i="11"/>
  <c r="C81" i="11"/>
  <c r="C72" i="11"/>
  <c r="C96" i="11"/>
  <c r="C102" i="11"/>
  <c r="C107" i="11"/>
  <c r="C108" i="11"/>
  <c r="C73" i="11"/>
  <c r="C85" i="11"/>
  <c r="C92" i="11"/>
  <c r="C91" i="11"/>
  <c r="C90" i="11"/>
  <c r="C110" i="11"/>
  <c r="C87" i="11"/>
  <c r="C99" i="11"/>
  <c r="C76" i="11"/>
  <c r="C114" i="11"/>
  <c r="C100" i="11"/>
  <c r="C86" i="11"/>
  <c r="C98" i="11"/>
  <c r="C77" i="11"/>
  <c r="C75" i="11"/>
  <c r="C101" i="11"/>
  <c r="C111" i="11"/>
  <c r="C78" i="11"/>
  <c r="C113" i="11"/>
  <c r="C93" i="11"/>
  <c r="C74" i="11"/>
  <c r="C94" i="11"/>
  <c r="C80" i="11"/>
  <c r="C70" i="11"/>
  <c r="C71" i="11"/>
  <c r="C95" i="11"/>
  <c r="C88" i="11"/>
  <c r="C112" i="11"/>
  <c r="C89" i="11"/>
  <c r="H65" i="8"/>
  <c r="F65" i="8"/>
  <c r="M75" i="11" l="1"/>
  <c r="N88" i="11" s="1"/>
  <c r="C130" i="11"/>
  <c r="N115" i="11" s="1"/>
  <c r="C6" i="10"/>
  <c r="D6" i="10" s="1"/>
  <c r="F6" i="10" s="1"/>
  <c r="C3" i="10"/>
  <c r="D3" i="10" s="1"/>
  <c r="F3" i="10" s="1"/>
  <c r="C4" i="10"/>
  <c r="D4" i="10" s="1"/>
  <c r="F4" i="10" s="1"/>
  <c r="M96" i="11" l="1"/>
  <c r="Q96" i="11" s="1"/>
  <c r="M88" i="11"/>
  <c r="Q88" i="11" s="1"/>
  <c r="M80" i="11"/>
  <c r="N121" i="11"/>
  <c r="C5" i="10"/>
  <c r="D5" i="10" s="1"/>
  <c r="F5" i="10" s="1"/>
  <c r="M65" i="8"/>
  <c r="O88" i="11" l="1"/>
  <c r="R88" i="11" s="1"/>
  <c r="D70" i="11" s="1"/>
  <c r="E70" i="11" s="1"/>
  <c r="N96" i="11"/>
  <c r="O96" i="11" s="1"/>
  <c r="R96" i="11" s="1"/>
  <c r="D121" i="11" s="1"/>
  <c r="E121" i="11" s="1"/>
  <c r="J121" i="11" s="1"/>
  <c r="G17" i="5"/>
  <c r="D73" i="11" l="1"/>
  <c r="E73" i="11" s="1"/>
  <c r="D125" i="11"/>
  <c r="E125" i="11" s="1"/>
  <c r="J125" i="11" s="1"/>
  <c r="D97" i="11"/>
  <c r="E97" i="11" s="1"/>
  <c r="J97" i="11" s="1"/>
  <c r="D93" i="11"/>
  <c r="E93" i="11" s="1"/>
  <c r="J93" i="11" s="1"/>
  <c r="D129" i="11"/>
  <c r="E129" i="11" s="1"/>
  <c r="J129" i="11" s="1"/>
  <c r="D77" i="11"/>
  <c r="E77" i="11" s="1"/>
  <c r="J77" i="11" s="1"/>
  <c r="D86" i="11"/>
  <c r="E86" i="11" s="1"/>
  <c r="J86" i="11" s="1"/>
  <c r="D101" i="11"/>
  <c r="E101" i="11" s="1"/>
  <c r="J101" i="11" s="1"/>
  <c r="D117" i="11"/>
  <c r="E117" i="11" s="1"/>
  <c r="D128" i="11"/>
  <c r="E128" i="11" s="1"/>
  <c r="J128" i="11" s="1"/>
  <c r="D110" i="11"/>
  <c r="E110" i="11" s="1"/>
  <c r="J110" i="11" s="1"/>
  <c r="D95" i="11"/>
  <c r="E95" i="11" s="1"/>
  <c r="J95" i="11" s="1"/>
  <c r="D96" i="11"/>
  <c r="E96" i="11" s="1"/>
  <c r="J96" i="11" s="1"/>
  <c r="D123" i="11"/>
  <c r="E123" i="11" s="1"/>
  <c r="J123" i="11" s="1"/>
  <c r="D71" i="11"/>
  <c r="E71" i="11" s="1"/>
  <c r="J71" i="11" s="1"/>
  <c r="D72" i="11"/>
  <c r="E72" i="11" s="1"/>
  <c r="J72" i="11" s="1"/>
  <c r="D92" i="11"/>
  <c r="E92" i="11" s="1"/>
  <c r="J92" i="11" s="1"/>
  <c r="D114" i="11"/>
  <c r="E114" i="11" s="1"/>
  <c r="D90" i="11"/>
  <c r="E90" i="11" s="1"/>
  <c r="D112" i="11"/>
  <c r="E112" i="11" s="1"/>
  <c r="J112" i="11" s="1"/>
  <c r="D106" i="11"/>
  <c r="E106" i="11" s="1"/>
  <c r="J106" i="11" s="1"/>
  <c r="D105" i="11"/>
  <c r="E105" i="11" s="1"/>
  <c r="D119" i="11"/>
  <c r="E119" i="11" s="1"/>
  <c r="J119" i="11" s="1"/>
  <c r="D81" i="11"/>
  <c r="E81" i="11" s="1"/>
  <c r="J81" i="11" s="1"/>
  <c r="D87" i="11"/>
  <c r="E87" i="11" s="1"/>
  <c r="J87" i="11" s="1"/>
  <c r="D98" i="11"/>
  <c r="E98" i="11" s="1"/>
  <c r="J98" i="11" s="1"/>
  <c r="D108" i="11"/>
  <c r="E108" i="11" s="1"/>
  <c r="D126" i="11"/>
  <c r="E126" i="11" s="1"/>
  <c r="J126" i="11" s="1"/>
  <c r="D103" i="11"/>
  <c r="E103" i="11" s="1"/>
  <c r="J103" i="11" s="1"/>
  <c r="D85" i="11"/>
  <c r="E85" i="11" s="1"/>
  <c r="J85" i="11" s="1"/>
  <c r="D82" i="11"/>
  <c r="E82" i="11" s="1"/>
  <c r="J82" i="11" s="1"/>
  <c r="D116" i="11"/>
  <c r="E116" i="11" s="1"/>
  <c r="J116" i="11" s="1"/>
  <c r="D100" i="11"/>
  <c r="E100" i="11" s="1"/>
  <c r="D115" i="11"/>
  <c r="E115" i="11" s="1"/>
  <c r="D79" i="11"/>
  <c r="E79" i="11" s="1"/>
  <c r="J79" i="11" s="1"/>
  <c r="D113" i="11"/>
  <c r="E113" i="11" s="1"/>
  <c r="J113" i="11" s="1"/>
  <c r="D104" i="11"/>
  <c r="E104" i="11" s="1"/>
  <c r="J104" i="11" s="1"/>
  <c r="D76" i="11"/>
  <c r="E76" i="11" s="1"/>
  <c r="J76" i="11" s="1"/>
  <c r="D124" i="11"/>
  <c r="E124" i="11" s="1"/>
  <c r="J124" i="11" s="1"/>
  <c r="D84" i="11"/>
  <c r="E84" i="11" s="1"/>
  <c r="J84" i="11" s="1"/>
  <c r="D107" i="11"/>
  <c r="E107" i="11" s="1"/>
  <c r="J107" i="11" s="1"/>
  <c r="D102" i="11"/>
  <c r="E102" i="11" s="1"/>
  <c r="J102" i="11" s="1"/>
  <c r="D109" i="11"/>
  <c r="E109" i="11" s="1"/>
  <c r="J109" i="11" s="1"/>
  <c r="D118" i="11"/>
  <c r="E118" i="11" s="1"/>
  <c r="J118" i="11" s="1"/>
  <c r="D120" i="11"/>
  <c r="E120" i="11" s="1"/>
  <c r="J120" i="11" s="1"/>
  <c r="D88" i="11"/>
  <c r="E88" i="11" s="1"/>
  <c r="J88" i="11" s="1"/>
  <c r="D99" i="11"/>
  <c r="E99" i="11" s="1"/>
  <c r="J99" i="11" s="1"/>
  <c r="D83" i="11"/>
  <c r="E83" i="11" s="1"/>
  <c r="J83" i="11" s="1"/>
  <c r="D122" i="11"/>
  <c r="E122" i="11" s="1"/>
  <c r="J122" i="11" s="1"/>
  <c r="D80" i="11"/>
  <c r="E80" i="11" s="1"/>
  <c r="J80" i="11" s="1"/>
  <c r="D78" i="11"/>
  <c r="E78" i="11" s="1"/>
  <c r="J78" i="11" s="1"/>
  <c r="D127" i="11"/>
  <c r="E127" i="11" s="1"/>
  <c r="J127" i="11" s="1"/>
  <c r="D94" i="11"/>
  <c r="E94" i="11" s="1"/>
  <c r="J94" i="11" s="1"/>
  <c r="D89" i="11"/>
  <c r="E89" i="11" s="1"/>
  <c r="J89" i="11" s="1"/>
  <c r="D75" i="11"/>
  <c r="E75" i="11" s="1"/>
  <c r="J75" i="11" s="1"/>
  <c r="D111" i="11"/>
  <c r="E111" i="11" s="1"/>
  <c r="D74" i="11"/>
  <c r="E74" i="11" s="1"/>
  <c r="J74" i="11" s="1"/>
  <c r="D91" i="11"/>
  <c r="E91" i="11" s="1"/>
  <c r="J91" i="11" s="1"/>
  <c r="D69" i="11"/>
  <c r="E69" i="11" s="1"/>
  <c r="J69" i="11" s="1"/>
  <c r="G73" i="5"/>
  <c r="G74" i="5"/>
  <c r="G75" i="5"/>
  <c r="G76" i="5"/>
  <c r="G72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35" i="5"/>
  <c r="G33" i="5"/>
  <c r="G32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 l="1"/>
  <c r="G34" i="5"/>
  <c r="G71" i="5"/>
  <c r="I77" i="5" l="1"/>
  <c r="I10" i="5" s="1"/>
  <c r="C16" i="11" l="1"/>
  <c r="C37" i="11"/>
  <c r="C11" i="11"/>
  <c r="C58" i="11"/>
  <c r="C32" i="11"/>
  <c r="C48" i="11"/>
  <c r="C24" i="11"/>
  <c r="C56" i="11"/>
  <c r="C38" i="11"/>
  <c r="C30" i="11"/>
  <c r="C18" i="11"/>
  <c r="C26" i="11"/>
  <c r="C13" i="11"/>
  <c r="C47" i="11"/>
  <c r="C34" i="11"/>
  <c r="C28" i="11"/>
  <c r="C57" i="11"/>
  <c r="C9" i="11"/>
  <c r="C25" i="11"/>
  <c r="C12" i="11"/>
  <c r="C22" i="11"/>
  <c r="C50" i="11"/>
  <c r="C49" i="11"/>
  <c r="C62" i="11"/>
  <c r="C51" i="11"/>
  <c r="C59" i="11"/>
  <c r="C61" i="11"/>
  <c r="C15" i="11"/>
  <c r="C20" i="11"/>
  <c r="C31" i="11"/>
  <c r="C45" i="11"/>
  <c r="C53" i="11"/>
  <c r="C21" i="11"/>
  <c r="C55" i="11"/>
  <c r="C8" i="11"/>
  <c r="C35" i="11"/>
  <c r="C60" i="11"/>
  <c r="C23" i="11"/>
  <c r="C29" i="11"/>
  <c r="C39" i="11"/>
  <c r="C40" i="11"/>
  <c r="C52" i="11"/>
  <c r="C19" i="11"/>
  <c r="C33" i="11"/>
  <c r="C63" i="11"/>
  <c r="C54" i="11"/>
  <c r="C27" i="11"/>
  <c r="C36" i="11"/>
  <c r="C10" i="11"/>
  <c r="C42" i="11"/>
  <c r="C44" i="11"/>
  <c r="C17" i="11"/>
  <c r="C14" i="11"/>
  <c r="C6" i="11"/>
  <c r="C41" i="11"/>
  <c r="C64" i="11"/>
  <c r="C46" i="11"/>
  <c r="C43" i="11"/>
  <c r="C7" i="11"/>
  <c r="C4" i="11"/>
  <c r="M10" i="11" l="1"/>
  <c r="N23" i="11" s="1"/>
  <c r="K65" i="8"/>
  <c r="C65" i="11"/>
  <c r="M15" i="11" l="1"/>
  <c r="M31" i="11"/>
  <c r="M23" i="11"/>
  <c r="O23" i="11" s="1"/>
  <c r="N50" i="11"/>
  <c r="N56" i="11" s="1"/>
  <c r="Q23" i="11" l="1"/>
  <c r="R23" i="11"/>
  <c r="N31" i="11"/>
  <c r="Q31" i="11"/>
  <c r="D5" i="11" l="1"/>
  <c r="E5" i="11" s="1"/>
  <c r="D43" i="11"/>
  <c r="E43" i="11" s="1"/>
  <c r="D50" i="11"/>
  <c r="E50" i="11" s="1"/>
  <c r="D49" i="11"/>
  <c r="E49" i="11" s="1"/>
  <c r="D40" i="11"/>
  <c r="E40" i="11" s="1"/>
  <c r="D46" i="11"/>
  <c r="E46" i="11" s="1"/>
  <c r="D35" i="11"/>
  <c r="E35" i="11" s="1"/>
  <c r="D25" i="11"/>
  <c r="E25" i="11" s="1"/>
  <c r="D52" i="11"/>
  <c r="E52" i="11" s="1"/>
  <c r="D8" i="11"/>
  <c r="E8" i="11" s="1"/>
  <c r="N110" i="11"/>
  <c r="N107" i="11"/>
  <c r="N104" i="11"/>
  <c r="N111" i="11"/>
  <c r="N103" i="11"/>
  <c r="N108" i="11"/>
  <c r="N102" i="11"/>
  <c r="N105" i="11"/>
  <c r="N109" i="11"/>
  <c r="O31" i="11"/>
  <c r="R31" i="11" s="1"/>
  <c r="D4" i="11" s="1"/>
  <c r="E4" i="11" s="1"/>
  <c r="J4" i="11" s="1"/>
  <c r="N41" i="11" l="1"/>
  <c r="D62" i="11"/>
  <c r="E62" i="11" s="1"/>
  <c r="J62" i="11" s="1"/>
  <c r="D41" i="11"/>
  <c r="E41" i="11" s="1"/>
  <c r="J41" i="11" s="1"/>
  <c r="D7" i="11"/>
  <c r="E7" i="11" s="1"/>
  <c r="J7" i="11" s="1"/>
  <c r="D45" i="11"/>
  <c r="E45" i="11" s="1"/>
  <c r="J45" i="11" s="1"/>
  <c r="D44" i="11"/>
  <c r="E44" i="11" s="1"/>
  <c r="J44" i="11" s="1"/>
  <c r="D47" i="11"/>
  <c r="E47" i="11" s="1"/>
  <c r="J47" i="11" s="1"/>
  <c r="D27" i="11"/>
  <c r="E27" i="11" s="1"/>
  <c r="J27" i="11" s="1"/>
  <c r="D57" i="11"/>
  <c r="E57" i="11" s="1"/>
  <c r="J57" i="11" s="1"/>
  <c r="D56" i="11"/>
  <c r="E56" i="11" s="1"/>
  <c r="J56" i="11" s="1"/>
  <c r="D11" i="11"/>
  <c r="E11" i="11" s="1"/>
  <c r="J11" i="11" s="1"/>
  <c r="D28" i="11"/>
  <c r="E28" i="11" s="1"/>
  <c r="J28" i="11" s="1"/>
  <c r="D10" i="11"/>
  <c r="E10" i="11" s="1"/>
  <c r="J10" i="11" s="1"/>
  <c r="D16" i="11"/>
  <c r="E16" i="11" s="1"/>
  <c r="J16" i="11" s="1"/>
  <c r="D33" i="11"/>
  <c r="E33" i="11" s="1"/>
  <c r="J33" i="11" s="1"/>
  <c r="D9" i="11"/>
  <c r="E9" i="11" s="1"/>
  <c r="J9" i="11" s="1"/>
  <c r="D24" i="11"/>
  <c r="E24" i="11" s="1"/>
  <c r="J24" i="11" s="1"/>
  <c r="D59" i="11"/>
  <c r="E59" i="11" s="1"/>
  <c r="J59" i="11" s="1"/>
  <c r="D54" i="11"/>
  <c r="E54" i="11" s="1"/>
  <c r="J54" i="11" s="1"/>
  <c r="D32" i="11"/>
  <c r="E32" i="11" s="1"/>
  <c r="J32" i="11" s="1"/>
  <c r="D26" i="11"/>
  <c r="E26" i="11" s="1"/>
  <c r="J26" i="11" s="1"/>
  <c r="D15" i="11"/>
  <c r="E15" i="11" s="1"/>
  <c r="J15" i="11" s="1"/>
  <c r="D12" i="11"/>
  <c r="E12" i="11" s="1"/>
  <c r="J12" i="11" s="1"/>
  <c r="D60" i="11"/>
  <c r="E60" i="11" s="1"/>
  <c r="J60" i="11" s="1"/>
  <c r="D22" i="11"/>
  <c r="E22" i="11" s="1"/>
  <c r="J22" i="11" s="1"/>
  <c r="D37" i="11"/>
  <c r="E37" i="11" s="1"/>
  <c r="J37" i="11" s="1"/>
  <c r="D64" i="11"/>
  <c r="E64" i="11" s="1"/>
  <c r="J64" i="11" s="1"/>
  <c r="D31" i="11"/>
  <c r="E31" i="11" s="1"/>
  <c r="J31" i="11" s="1"/>
  <c r="D19" i="11"/>
  <c r="E19" i="11" s="1"/>
  <c r="J19" i="11" s="1"/>
  <c r="D36" i="11"/>
  <c r="E36" i="11" s="1"/>
  <c r="J36" i="11" s="1"/>
  <c r="D6" i="11"/>
  <c r="E6" i="11" s="1"/>
  <c r="J6" i="11" s="1"/>
  <c r="D48" i="11"/>
  <c r="E48" i="11" s="1"/>
  <c r="J48" i="11" s="1"/>
  <c r="D63" i="11"/>
  <c r="E63" i="11" s="1"/>
  <c r="J63" i="11" s="1"/>
  <c r="D29" i="11"/>
  <c r="E29" i="11" s="1"/>
  <c r="J29" i="11" s="1"/>
  <c r="D17" i="11"/>
  <c r="D61" i="11"/>
  <c r="E61" i="11" s="1"/>
  <c r="J61" i="11" s="1"/>
  <c r="D39" i="11"/>
  <c r="E39" i="11" s="1"/>
  <c r="J39" i="11" s="1"/>
  <c r="D34" i="11"/>
  <c r="E34" i="11" s="1"/>
  <c r="J34" i="11" s="1"/>
  <c r="D42" i="11"/>
  <c r="E42" i="11" s="1"/>
  <c r="J42" i="11" s="1"/>
  <c r="D30" i="11"/>
  <c r="E30" i="11" s="1"/>
  <c r="J30" i="11" s="1"/>
  <c r="D38" i="11"/>
  <c r="E38" i="11" s="1"/>
  <c r="J38" i="11" s="1"/>
  <c r="D53" i="11"/>
  <c r="E53" i="11" s="1"/>
  <c r="J53" i="11" s="1"/>
  <c r="D51" i="11"/>
  <c r="E51" i="11" s="1"/>
  <c r="J51" i="11" s="1"/>
  <c r="D21" i="11"/>
  <c r="E21" i="11" s="1"/>
  <c r="J21" i="11" s="1"/>
  <c r="D18" i="11"/>
  <c r="E18" i="11" s="1"/>
  <c r="J18" i="11" s="1"/>
  <c r="D20" i="11"/>
  <c r="E20" i="11" s="1"/>
  <c r="J20" i="11" s="1"/>
  <c r="D14" i="11"/>
  <c r="E14" i="11" s="1"/>
  <c r="J14" i="11" s="1"/>
  <c r="D58" i="11"/>
  <c r="E58" i="11" s="1"/>
  <c r="J58" i="11" s="1"/>
  <c r="D55" i="11"/>
  <c r="E55" i="11" s="1"/>
  <c r="J55" i="11" s="1"/>
  <c r="D13" i="11"/>
  <c r="E13" i="11" s="1"/>
  <c r="J13" i="11" s="1"/>
  <c r="D23" i="11"/>
  <c r="E23" i="11" s="1"/>
  <c r="J23" i="11" s="1"/>
  <c r="N106" i="11"/>
  <c r="O75" i="11"/>
  <c r="N39" i="11"/>
  <c r="O10" i="11"/>
  <c r="N37" i="11"/>
  <c r="N46" i="11"/>
  <c r="N45" i="11"/>
  <c r="N44" i="11"/>
  <c r="N43" i="11"/>
  <c r="N38" i="11"/>
  <c r="N42" i="11"/>
  <c r="N40" i="11"/>
  <c r="N112" i="11" l="1"/>
  <c r="E17" i="11"/>
  <c r="J17" i="11" s="1"/>
  <c r="D130" i="11"/>
  <c r="O80" i="11" s="1"/>
  <c r="D65" i="11"/>
  <c r="O15" i="11" s="1"/>
  <c r="G16" i="5"/>
  <c r="F77" i="5"/>
  <c r="F10" i="5" s="1"/>
  <c r="K10" i="5" s="1"/>
  <c r="N47" i="11"/>
  <c r="O41" i="11" s="1"/>
  <c r="O109" i="11" l="1"/>
  <c r="Q109" i="11" s="1"/>
  <c r="O108" i="11"/>
  <c r="Q108" i="11" s="1"/>
  <c r="O104" i="11"/>
  <c r="Q104" i="11" s="1"/>
  <c r="O105" i="11"/>
  <c r="Q105" i="11" s="1"/>
  <c r="O111" i="11"/>
  <c r="Q111" i="11" s="1"/>
  <c r="O110" i="11"/>
  <c r="Q110" i="11" s="1"/>
  <c r="O103" i="11"/>
  <c r="Q103" i="11" s="1"/>
  <c r="O107" i="11"/>
  <c r="Q107" i="11" s="1"/>
  <c r="O106" i="11"/>
  <c r="Q106" i="11" s="1"/>
  <c r="O42" i="11"/>
  <c r="Q42" i="11" s="1"/>
  <c r="O38" i="11"/>
  <c r="Q38" i="11" s="1"/>
  <c r="O43" i="11"/>
  <c r="Q43" i="11" s="1"/>
  <c r="O39" i="11"/>
  <c r="Q39" i="11" s="1"/>
  <c r="O45" i="11"/>
  <c r="Q45" i="11" s="1"/>
  <c r="O46" i="11"/>
  <c r="Q46" i="11" s="1"/>
  <c r="O44" i="11"/>
  <c r="Q44" i="11" s="1"/>
  <c r="O40" i="11"/>
  <c r="Q40" i="11" s="1"/>
  <c r="O37" i="11"/>
  <c r="Q37" i="11" s="1"/>
  <c r="R103" i="11"/>
  <c r="J73" i="11" s="1"/>
  <c r="R109" i="11"/>
  <c r="J114" i="11" s="1"/>
  <c r="R102" i="11"/>
  <c r="J70" i="11" s="1"/>
  <c r="R105" i="11"/>
  <c r="J100" i="11" s="1"/>
  <c r="R111" i="11"/>
  <c r="J117" i="11" s="1"/>
  <c r="R110" i="11"/>
  <c r="J115" i="11" s="1"/>
  <c r="R108" i="11"/>
  <c r="J111" i="11" s="1"/>
  <c r="R104" i="11"/>
  <c r="J90" i="11" s="1"/>
  <c r="R107" i="11"/>
  <c r="J108" i="11" s="1"/>
  <c r="R106" i="11"/>
  <c r="J105" i="11" s="1"/>
  <c r="O102" i="11"/>
  <c r="R41" i="11"/>
  <c r="J40" i="11" s="1"/>
  <c r="Q41" i="11"/>
  <c r="E65" i="11"/>
  <c r="E130" i="11"/>
  <c r="H22" i="5"/>
  <c r="J22" i="5" s="1"/>
  <c r="H54" i="5"/>
  <c r="J54" i="5" s="1"/>
  <c r="H74" i="5"/>
  <c r="J74" i="5" s="1"/>
  <c r="H21" i="5"/>
  <c r="J21" i="5" s="1"/>
  <c r="H36" i="5"/>
  <c r="J36" i="5" s="1"/>
  <c r="H60" i="5"/>
  <c r="J60" i="5" s="1"/>
  <c r="H56" i="5"/>
  <c r="J56" i="5" s="1"/>
  <c r="H69" i="5"/>
  <c r="J69" i="5" s="1"/>
  <c r="H64" i="5"/>
  <c r="J64" i="5" s="1"/>
  <c r="H66" i="5"/>
  <c r="J66" i="5" s="1"/>
  <c r="H19" i="5"/>
  <c r="J19" i="5" s="1"/>
  <c r="H28" i="5"/>
  <c r="J28" i="5" s="1"/>
  <c r="H73" i="5"/>
  <c r="J73" i="5" s="1"/>
  <c r="H62" i="5"/>
  <c r="J62" i="5" s="1"/>
  <c r="H39" i="5"/>
  <c r="J39" i="5" s="1"/>
  <c r="H63" i="5"/>
  <c r="J63" i="5" s="1"/>
  <c r="H70" i="5"/>
  <c r="J70" i="5" s="1"/>
  <c r="H37" i="5"/>
  <c r="J37" i="5" s="1"/>
  <c r="H48" i="5"/>
  <c r="J48" i="5" s="1"/>
  <c r="H32" i="5"/>
  <c r="J32" i="5" s="1"/>
  <c r="H38" i="5"/>
  <c r="J38" i="5" s="1"/>
  <c r="H45" i="5"/>
  <c r="J45" i="5" s="1"/>
  <c r="H29" i="5"/>
  <c r="J29" i="5" s="1"/>
  <c r="H51" i="5"/>
  <c r="J51" i="5" s="1"/>
  <c r="H76" i="5"/>
  <c r="J76" i="5" s="1"/>
  <c r="H68" i="5"/>
  <c r="J68" i="5" s="1"/>
  <c r="H43" i="5"/>
  <c r="J43" i="5" s="1"/>
  <c r="H58" i="5"/>
  <c r="J58" i="5" s="1"/>
  <c r="E5" i="12" s="1"/>
  <c r="H44" i="5"/>
  <c r="J44" i="5" s="1"/>
  <c r="H26" i="5"/>
  <c r="J26" i="5" s="1"/>
  <c r="H24" i="5"/>
  <c r="J24" i="5" s="1"/>
  <c r="H47" i="5"/>
  <c r="J47" i="5" s="1"/>
  <c r="H35" i="5"/>
  <c r="J35" i="5" s="1"/>
  <c r="H53" i="5"/>
  <c r="J53" i="5" s="1"/>
  <c r="H52" i="5"/>
  <c r="J52" i="5" s="1"/>
  <c r="H49" i="5"/>
  <c r="J49" i="5" s="1"/>
  <c r="H50" i="5"/>
  <c r="J50" i="5" s="1"/>
  <c r="H67" i="5"/>
  <c r="J67" i="5" s="1"/>
  <c r="H25" i="5"/>
  <c r="J25" i="5" s="1"/>
  <c r="H71" i="5"/>
  <c r="J71" i="5" s="1"/>
  <c r="H57" i="5"/>
  <c r="J57" i="5" s="1"/>
  <c r="H20" i="5"/>
  <c r="J20" i="5" s="1"/>
  <c r="H18" i="5"/>
  <c r="J18" i="5" s="1"/>
  <c r="H46" i="5"/>
  <c r="J46" i="5" s="1"/>
  <c r="H31" i="5"/>
  <c r="J31" i="5" s="1"/>
  <c r="H33" i="5"/>
  <c r="J33" i="5" s="1"/>
  <c r="H17" i="5"/>
  <c r="J17" i="5" s="1"/>
  <c r="C5" i="12" s="1"/>
  <c r="H40" i="5"/>
  <c r="J40" i="5" s="1"/>
  <c r="H75" i="5"/>
  <c r="J75" i="5" s="1"/>
  <c r="H41" i="5"/>
  <c r="J41" i="5" s="1"/>
  <c r="H42" i="5"/>
  <c r="J42" i="5" s="1"/>
  <c r="H55" i="5"/>
  <c r="J55" i="5" s="1"/>
  <c r="H65" i="5"/>
  <c r="J65" i="5" s="1"/>
  <c r="H61" i="5"/>
  <c r="J61" i="5" s="1"/>
  <c r="H27" i="5"/>
  <c r="J27" i="5" s="1"/>
  <c r="H59" i="5"/>
  <c r="J59" i="5" s="1"/>
  <c r="H23" i="5"/>
  <c r="J23" i="5" s="1"/>
  <c r="G77" i="5"/>
  <c r="H16" i="5"/>
  <c r="J16" i="5" s="1"/>
  <c r="R43" i="11"/>
  <c r="J46" i="11" s="1"/>
  <c r="R45" i="11"/>
  <c r="J50" i="11" s="1"/>
  <c r="R42" i="11"/>
  <c r="J43" i="11" s="1"/>
  <c r="R40" i="11"/>
  <c r="J35" i="11" s="1"/>
  <c r="R46" i="11"/>
  <c r="J52" i="11" s="1"/>
  <c r="R44" i="11"/>
  <c r="J49" i="11" s="1"/>
  <c r="R37" i="11"/>
  <c r="J5" i="11" s="1"/>
  <c r="R38" i="11"/>
  <c r="J8" i="11" s="1"/>
  <c r="R39" i="11"/>
  <c r="J25" i="11" s="1"/>
  <c r="F23" i="11" l="1"/>
  <c r="L21" i="5"/>
  <c r="L41" i="5"/>
  <c r="L66" i="5"/>
  <c r="L44" i="5"/>
  <c r="L38" i="5"/>
  <c r="L35" i="5"/>
  <c r="L55" i="5"/>
  <c r="L53" i="5"/>
  <c r="L56" i="5"/>
  <c r="L36" i="5"/>
  <c r="L54" i="5"/>
  <c r="L18" i="5"/>
  <c r="L48" i="5"/>
  <c r="L52" i="5"/>
  <c r="L59" i="5"/>
  <c r="L26" i="5"/>
  <c r="L42" i="5"/>
  <c r="L27" i="5"/>
  <c r="L31" i="5"/>
  <c r="L57" i="5"/>
  <c r="L70" i="5"/>
  <c r="L69" i="5"/>
  <c r="L60" i="5"/>
  <c r="L43" i="5"/>
  <c r="L75" i="5"/>
  <c r="L51" i="5"/>
  <c r="L63" i="5"/>
  <c r="L46" i="5"/>
  <c r="L20" i="5"/>
  <c r="L25" i="5"/>
  <c r="L39" i="5"/>
  <c r="L23" i="5"/>
  <c r="L24" i="5"/>
  <c r="L65" i="5"/>
  <c r="L68" i="5"/>
  <c r="L32" i="5"/>
  <c r="L67" i="5"/>
  <c r="L62" i="5"/>
  <c r="L19" i="5"/>
  <c r="L22" i="5"/>
  <c r="L45" i="5"/>
  <c r="L50" i="5"/>
  <c r="L61" i="5"/>
  <c r="L74" i="5"/>
  <c r="L76" i="5"/>
  <c r="L40" i="5"/>
  <c r="L73" i="5"/>
  <c r="L49" i="5"/>
  <c r="L28" i="5"/>
  <c r="F52" i="11"/>
  <c r="F50" i="11"/>
  <c r="F39" i="11"/>
  <c r="F12" i="11"/>
  <c r="F34" i="11"/>
  <c r="F38" i="11"/>
  <c r="F64" i="11"/>
  <c r="F37" i="11"/>
  <c r="F15" i="11"/>
  <c r="F45" i="11"/>
  <c r="F41" i="11"/>
  <c r="F19" i="11"/>
  <c r="F58" i="11"/>
  <c r="F30" i="11"/>
  <c r="F6" i="11"/>
  <c r="F16" i="11"/>
  <c r="F14" i="11"/>
  <c r="F47" i="11"/>
  <c r="F55" i="11"/>
  <c r="F51" i="11"/>
  <c r="F17" i="11"/>
  <c r="F24" i="11"/>
  <c r="F13" i="11"/>
  <c r="F32" i="11"/>
  <c r="F28" i="11"/>
  <c r="F56" i="11"/>
  <c r="F26" i="11"/>
  <c r="F29" i="11"/>
  <c r="F59" i="11"/>
  <c r="F60" i="11"/>
  <c r="F48" i="11"/>
  <c r="F4" i="11"/>
  <c r="F22" i="11"/>
  <c r="F43" i="11"/>
  <c r="F63" i="11"/>
  <c r="F25" i="11"/>
  <c r="F33" i="11"/>
  <c r="F49" i="11"/>
  <c r="F54" i="11"/>
  <c r="F8" i="11"/>
  <c r="F40" i="11"/>
  <c r="F57" i="11"/>
  <c r="F9" i="11"/>
  <c r="F5" i="11"/>
  <c r="F7" i="11"/>
  <c r="F35" i="11"/>
  <c r="F27" i="11"/>
  <c r="F46" i="11"/>
  <c r="F62" i="11"/>
  <c r="F44" i="11"/>
  <c r="F31" i="11"/>
  <c r="F36" i="11"/>
  <c r="F11" i="11"/>
  <c r="F61" i="11"/>
  <c r="F18" i="11"/>
  <c r="F42" i="11"/>
  <c r="F21" i="11"/>
  <c r="F20" i="11"/>
  <c r="F53" i="11"/>
  <c r="F10" i="11"/>
  <c r="D5" i="12"/>
  <c r="D7" i="12" s="1"/>
  <c r="C7" i="12"/>
  <c r="F5" i="12"/>
  <c r="F7" i="12" s="1"/>
  <c r="E7" i="12"/>
  <c r="L64" i="5"/>
  <c r="L58" i="5"/>
  <c r="L47" i="5"/>
  <c r="L37" i="5"/>
  <c r="L17" i="5"/>
  <c r="F101" i="11"/>
  <c r="F102" i="11"/>
  <c r="F77" i="11"/>
  <c r="F83" i="11"/>
  <c r="F71" i="11"/>
  <c r="F118" i="11"/>
  <c r="F70" i="11"/>
  <c r="F75" i="11"/>
  <c r="F100" i="11"/>
  <c r="F99" i="11"/>
  <c r="F88" i="11"/>
  <c r="F87" i="11"/>
  <c r="F94" i="11"/>
  <c r="F122" i="11"/>
  <c r="F123" i="11"/>
  <c r="F93" i="11"/>
  <c r="F76" i="11"/>
  <c r="F74" i="11"/>
  <c r="F91" i="11"/>
  <c r="F79" i="11"/>
  <c r="F104" i="11"/>
  <c r="F85" i="11"/>
  <c r="F95" i="11"/>
  <c r="F98" i="11"/>
  <c r="F86" i="11"/>
  <c r="F96" i="11"/>
  <c r="F103" i="11"/>
  <c r="F111" i="11"/>
  <c r="F115" i="11"/>
  <c r="F112" i="11"/>
  <c r="F78" i="11"/>
  <c r="F127" i="11"/>
  <c r="F97" i="11"/>
  <c r="F116" i="11"/>
  <c r="F73" i="11"/>
  <c r="F92" i="11"/>
  <c r="F121" i="11"/>
  <c r="F110" i="11"/>
  <c r="F81" i="11"/>
  <c r="F72" i="11"/>
  <c r="F82" i="11"/>
  <c r="F120" i="11"/>
  <c r="F80" i="11"/>
  <c r="F125" i="11"/>
  <c r="F126" i="11"/>
  <c r="F124" i="11"/>
  <c r="F107" i="11"/>
  <c r="F84" i="11"/>
  <c r="F119" i="11"/>
  <c r="F129" i="11"/>
  <c r="F105" i="11"/>
  <c r="F117" i="11"/>
  <c r="F114" i="11"/>
  <c r="F90" i="11"/>
  <c r="F108" i="11"/>
  <c r="F89" i="11"/>
  <c r="F106" i="11"/>
  <c r="F109" i="11"/>
  <c r="F113" i="11"/>
  <c r="F128" i="11"/>
  <c r="F69" i="11"/>
  <c r="H72" i="5"/>
  <c r="J72" i="5" s="1"/>
  <c r="H30" i="5"/>
  <c r="J30" i="5" s="1"/>
  <c r="H34" i="5"/>
  <c r="J34" i="5" s="1"/>
  <c r="Q102" i="11"/>
  <c r="Q112" i="11" s="1"/>
  <c r="O112" i="11"/>
  <c r="R112" i="11"/>
  <c r="O47" i="11"/>
  <c r="R47" i="11"/>
  <c r="Q47" i="11"/>
  <c r="J77" i="5" l="1"/>
  <c r="H77" i="5"/>
  <c r="L29" i="5"/>
  <c r="L34" i="5"/>
  <c r="L33" i="5"/>
  <c r="L71" i="5"/>
  <c r="L72" i="5"/>
  <c r="L30" i="5"/>
  <c r="F65" i="11"/>
  <c r="E8" i="12"/>
  <c r="F130" i="11"/>
  <c r="L16" i="5"/>
  <c r="J130" i="11"/>
  <c r="J65" i="11"/>
  <c r="L77" i="5" l="1"/>
  <c r="K124" i="11"/>
  <c r="K76" i="11"/>
  <c r="K89" i="11"/>
  <c r="K78" i="11"/>
  <c r="K83" i="11"/>
  <c r="K97" i="11"/>
  <c r="K121" i="11"/>
  <c r="K85" i="11"/>
  <c r="K92" i="11"/>
  <c r="K88" i="11"/>
  <c r="K77" i="11"/>
  <c r="K128" i="11"/>
  <c r="K99" i="11"/>
  <c r="K91" i="11"/>
  <c r="K129" i="11"/>
  <c r="K122" i="11"/>
  <c r="K87" i="11"/>
  <c r="K72" i="11"/>
  <c r="K71" i="11"/>
  <c r="K127" i="11"/>
  <c r="K116" i="11"/>
  <c r="K94" i="11"/>
  <c r="K74" i="11"/>
  <c r="K81" i="11"/>
  <c r="K123" i="11"/>
  <c r="K113" i="11"/>
  <c r="K125" i="11"/>
  <c r="K103" i="11"/>
  <c r="K75" i="11"/>
  <c r="K79" i="11"/>
  <c r="K84" i="11"/>
  <c r="K98" i="11"/>
  <c r="K80" i="11"/>
  <c r="K95" i="11"/>
  <c r="K106" i="11"/>
  <c r="K110" i="11"/>
  <c r="K86" i="11"/>
  <c r="K112" i="11"/>
  <c r="K82" i="11"/>
  <c r="K109" i="11"/>
  <c r="K101" i="11"/>
  <c r="K120" i="11"/>
  <c r="K119" i="11"/>
  <c r="K104" i="11"/>
  <c r="K107" i="11"/>
  <c r="K118" i="11"/>
  <c r="K96" i="11"/>
  <c r="K93" i="11"/>
  <c r="K102" i="11"/>
  <c r="K126" i="11"/>
  <c r="K117" i="11"/>
  <c r="K111" i="11"/>
  <c r="K115" i="11"/>
  <c r="K73" i="11"/>
  <c r="K105" i="11"/>
  <c r="K114" i="11"/>
  <c r="K70" i="11"/>
  <c r="K90" i="11"/>
  <c r="K108" i="11"/>
  <c r="K100" i="11"/>
  <c r="K69" i="11"/>
  <c r="K26" i="11"/>
  <c r="K9" i="11"/>
  <c r="K20" i="11"/>
  <c r="K28" i="11"/>
  <c r="K21" i="11"/>
  <c r="K59" i="11"/>
  <c r="K23" i="11"/>
  <c r="K13" i="11"/>
  <c r="K38" i="11"/>
  <c r="K53" i="11"/>
  <c r="K30" i="11"/>
  <c r="K11" i="11"/>
  <c r="K16" i="11"/>
  <c r="K58" i="11"/>
  <c r="K31" i="11"/>
  <c r="K33" i="11"/>
  <c r="K39" i="11"/>
  <c r="K56" i="11"/>
  <c r="K15" i="11"/>
  <c r="K45" i="11"/>
  <c r="K10" i="11"/>
  <c r="K54" i="11"/>
  <c r="K14" i="11"/>
  <c r="K6" i="11"/>
  <c r="K29" i="11"/>
  <c r="K18" i="11"/>
  <c r="K44" i="11"/>
  <c r="K12" i="11"/>
  <c r="K34" i="11"/>
  <c r="K42" i="11"/>
  <c r="K60" i="11"/>
  <c r="K61" i="11"/>
  <c r="K27" i="11"/>
  <c r="K51" i="11"/>
  <c r="K36" i="11"/>
  <c r="K63" i="11"/>
  <c r="K19" i="11"/>
  <c r="K62" i="11"/>
  <c r="K41" i="11"/>
  <c r="K48" i="11"/>
  <c r="K37" i="11"/>
  <c r="K24" i="11"/>
  <c r="K64" i="11"/>
  <c r="K57" i="11"/>
  <c r="K47" i="11"/>
  <c r="K7" i="11"/>
  <c r="K22" i="11"/>
  <c r="K17" i="11"/>
  <c r="K55" i="11"/>
  <c r="K32" i="11"/>
  <c r="K5" i="11"/>
  <c r="K8" i="11"/>
  <c r="K50" i="11"/>
  <c r="K52" i="11"/>
  <c r="K35" i="11"/>
  <c r="K49" i="11"/>
  <c r="K25" i="11"/>
  <c r="K46" i="11"/>
  <c r="K40" i="11"/>
  <c r="K43" i="11"/>
  <c r="K4" i="11"/>
  <c r="K130" i="11" l="1"/>
  <c r="K65" i="11"/>
</calcChain>
</file>

<file path=xl/sharedStrings.xml><?xml version="1.0" encoding="utf-8"?>
<sst xmlns="http://schemas.openxmlformats.org/spreadsheetml/2006/main" count="1172" uniqueCount="303">
  <si>
    <t>Taxable Litres</t>
  </si>
  <si>
    <t>Tax Paid Litres</t>
  </si>
  <si>
    <t>Net Taxable Litres</t>
  </si>
  <si>
    <t>Tax Rate</t>
  </si>
  <si>
    <t>AB</t>
  </si>
  <si>
    <t>AL</t>
  </si>
  <si>
    <t>AR</t>
  </si>
  <si>
    <t>AZ</t>
  </si>
  <si>
    <t>BC</t>
  </si>
  <si>
    <t>CA</t>
  </si>
  <si>
    <t>CO</t>
  </si>
  <si>
    <t>CT</t>
  </si>
  <si>
    <t>DE</t>
  </si>
  <si>
    <t>FL</t>
  </si>
  <si>
    <t>GA</t>
  </si>
  <si>
    <t>IA</t>
  </si>
  <si>
    <t>ID</t>
  </si>
  <si>
    <t>IL</t>
  </si>
  <si>
    <t>IN</t>
  </si>
  <si>
    <t>KS</t>
  </si>
  <si>
    <t>KY</t>
  </si>
  <si>
    <t>LA</t>
  </si>
  <si>
    <t>MB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</si>
  <si>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</si>
  <si>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</si>
  <si>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</si>
  <si>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</si>
  <si>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</si>
  <si>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</si>
  <si>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</si>
  <si>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</si>
  <si>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</si>
  <si>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</si>
  <si>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</si>
  <si>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</si>
  <si>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NY</t>
  </si>
  <si>
    <t>NM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</si>
  <si>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</si>
  <si>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</si>
  <si>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</si>
  <si>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</si>
  <si>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</si>
  <si>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</si>
  <si>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</si>
  <si>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</si>
  <si>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</si>
  <si>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</si>
  <si>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</si>
  <si>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</si>
  <si>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</si>
  <si>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</si>
  <si>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</si>
  <si>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WI</t>
  </si>
  <si>
    <t>WV</t>
  </si>
  <si>
    <t>WY</t>
  </si>
  <si>
    <t>NB</t>
  </si>
  <si>
    <t>NL</t>
  </si>
  <si>
    <t>NS</t>
  </si>
  <si>
    <t>ON</t>
  </si>
  <si>
    <t>PE</t>
  </si>
  <si>
    <t>QC</t>
  </si>
  <si>
    <t>SK</t>
  </si>
  <si>
    <t>Total Kilometres Travelled</t>
  </si>
  <si>
    <t>Total Litres of Fuel Issued</t>
  </si>
  <si>
    <t>Average KPL</t>
  </si>
  <si>
    <t>(Everywhere)</t>
  </si>
  <si>
    <t>(A divided by B)</t>
  </si>
  <si>
    <t>(E)</t>
  </si>
  <si>
    <t>(G)</t>
  </si>
  <si>
    <t>(H)</t>
  </si>
  <si>
    <t>(I)</t>
  </si>
  <si>
    <t>(J)</t>
  </si>
  <si>
    <t>(K)</t>
  </si>
  <si>
    <t>Jurisdication</t>
  </si>
  <si>
    <t>Total KM</t>
  </si>
  <si>
    <t>Taxable KM</t>
  </si>
  <si>
    <t>Tax due/credit</t>
  </si>
  <si>
    <t>By Juridication</t>
  </si>
  <si>
    <t>(A)</t>
  </si>
  <si>
    <t>(B)</t>
  </si>
  <si>
    <t>(C)</t>
  </si>
  <si>
    <t>H Divided by C</t>
  </si>
  <si>
    <t>(L)</t>
  </si>
  <si>
    <t>(M)</t>
  </si>
  <si>
    <t>I Minus J</t>
  </si>
  <si>
    <t>(K multiply by L)</t>
  </si>
  <si>
    <t>Totals</t>
  </si>
  <si>
    <t>IFTA Account No. : -</t>
  </si>
  <si>
    <t>Abbreviation</t>
  </si>
  <si>
    <t>Jurisdiction</t>
  </si>
  <si>
    <t>Alberta</t>
  </si>
  <si>
    <t>Alabama</t>
  </si>
  <si>
    <t>Arkansas</t>
  </si>
  <si>
    <t>Arizona</t>
  </si>
  <si>
    <t>British Columbia</t>
  </si>
  <si>
    <t>California</t>
  </si>
  <si>
    <t>Colorado</t>
  </si>
  <si>
    <t>Connecticut</t>
  </si>
  <si>
    <t>Delaware</t>
  </si>
  <si>
    <t>Florida</t>
  </si>
  <si>
    <t>Georgia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</si>
  <si>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</si>
  <si>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</si>
  <si>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</si>
  <si>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</si>
  <si>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</si>
  <si>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</si>
  <si>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</si>
  <si>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</si>
  <si>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Manitoba</t>
  </si>
  <si>
    <t>Maryland</t>
  </si>
  <si>
    <t>Maine</t>
  </si>
  <si>
    <t>Michigan</t>
  </si>
  <si>
    <t>Minnesota</t>
  </si>
  <si>
    <t>Missouri</t>
  </si>
  <si>
    <t>Mississippi</t>
  </si>
  <si>
    <t>Montana</t>
  </si>
  <si>
    <t>New Brunswick</t>
  </si>
  <si>
    <t>North Carolina</t>
  </si>
  <si>
    <t>North Dakota</t>
  </si>
  <si>
    <t>Nebraska</t>
  </si>
  <si>
    <t>Newfoundland</t>
  </si>
  <si>
    <t>New Hampshire</t>
  </si>
  <si>
    <t>New Jersey</t>
  </si>
  <si>
    <t>New Mexico</t>
  </si>
  <si>
    <t>Nova Scotia</t>
  </si>
  <si>
    <t>Neveda</t>
  </si>
  <si>
    <t>New York</t>
  </si>
  <si>
    <t>Ohio</t>
  </si>
  <si>
    <t>Oklahoma</t>
  </si>
  <si>
    <t>Ontario</t>
  </si>
  <si>
    <t>Oregon</t>
  </si>
  <si>
    <t>Pennsylvania</t>
  </si>
  <si>
    <t>Prince Edward Isl.</t>
  </si>
  <si>
    <t>Quebec</t>
  </si>
  <si>
    <t>Rhode Island</t>
  </si>
  <si>
    <t>South Carolina</t>
  </si>
  <si>
    <t>South Dakota</t>
  </si>
  <si>
    <t>Saskatchewan</t>
  </si>
  <si>
    <t>Tennessee</t>
  </si>
  <si>
    <t>Texas</t>
  </si>
  <si>
    <t>Utah</t>
  </si>
  <si>
    <t>Virginia</t>
  </si>
  <si>
    <t>Vermont</t>
  </si>
  <si>
    <t>Washington</t>
  </si>
  <si>
    <t>Wisconsin</t>
  </si>
  <si>
    <t>West Virginia</t>
  </si>
  <si>
    <t>Wyoming</t>
  </si>
  <si>
    <t>ALBERTA #15</t>
  </si>
  <si>
    <t>Can</t>
  </si>
  <si>
    <t>BRITISH COLUMBIA #14</t>
  </si>
  <si>
    <t>MANITOBA #18</t>
  </si>
  <si>
    <t xml:space="preserve">NEW BRUNSWICK </t>
  </si>
  <si>
    <t xml:space="preserve">NEWFOUNDLAND </t>
  </si>
  <si>
    <t xml:space="preserve">NOVA SCOTIA </t>
  </si>
  <si>
    <t>ONTARIO #5</t>
  </si>
  <si>
    <t xml:space="preserve">PRINCE EDWARD ISLAND </t>
  </si>
  <si>
    <t xml:space="preserve">QUEBEC </t>
  </si>
  <si>
    <t xml:space="preserve">SASKATCHEWAN </t>
  </si>
  <si>
    <t xml:space="preserve">ALABAMA </t>
  </si>
  <si>
    <t>ARIZONA #8</t>
  </si>
  <si>
    <t xml:space="preserve">ARKANSAS </t>
  </si>
  <si>
    <t>CALIFORNIA #1</t>
  </si>
  <si>
    <t xml:space="preserve">COLORADO </t>
  </si>
  <si>
    <t>CONNECTICUT #16</t>
  </si>
  <si>
    <t xml:space="preserve">DELAWARE </t>
  </si>
  <si>
    <t>FLORIDA #19</t>
  </si>
  <si>
    <t xml:space="preserve">GEORGIA </t>
  </si>
  <si>
    <t>IDAHO #7</t>
  </si>
  <si>
    <t xml:space="preserve">ILLINOIS </t>
  </si>
  <si>
    <t xml:space="preserve">INDIANA </t>
  </si>
  <si>
    <t xml:space="preserve">INDIANA SurChg </t>
  </si>
  <si>
    <t xml:space="preserve">IOWA </t>
  </si>
  <si>
    <t xml:space="preserve">KANSAS </t>
  </si>
  <si>
    <t xml:space="preserve">KENTUCKY </t>
  </si>
  <si>
    <t xml:space="preserve">KENTUCKY SurChg </t>
  </si>
  <si>
    <t>LOUISIANA #22</t>
  </si>
  <si>
    <t>MAINE #6</t>
  </si>
  <si>
    <t>MARYLAND #25</t>
  </si>
  <si>
    <t xml:space="preserve">MASSACHUSETTS </t>
  </si>
  <si>
    <t xml:space="preserve">MICHIGAN </t>
  </si>
  <si>
    <t>MINNESOTA #17</t>
  </si>
  <si>
    <t>MISSISSIPPI #2</t>
  </si>
  <si>
    <t>MISSOURI #3</t>
  </si>
  <si>
    <t>MONTANA #10</t>
  </si>
  <si>
    <t xml:space="preserve">NEBRASKA </t>
  </si>
  <si>
    <t xml:space="preserve">NEVADA </t>
  </si>
  <si>
    <t xml:space="preserve">NEW HAMPSHIRE </t>
  </si>
  <si>
    <t xml:space="preserve">NEW JERSEY </t>
  </si>
  <si>
    <t xml:space="preserve">NEW MEXICO </t>
  </si>
  <si>
    <t>NEW YORK #12</t>
  </si>
  <si>
    <t xml:space="preserve">NORTH CAROLINA </t>
  </si>
  <si>
    <t xml:space="preserve">NORTH DAKOTA </t>
  </si>
  <si>
    <t xml:space="preserve">OHIO </t>
  </si>
  <si>
    <t xml:space="preserve">OKLAHOMA </t>
  </si>
  <si>
    <t xml:space="preserve">OREGON </t>
  </si>
  <si>
    <t>PENNSYLVANIA #4</t>
  </si>
  <si>
    <t xml:space="preserve">RHODE ISLAND </t>
  </si>
  <si>
    <t>SOUTH CAROLINA #24</t>
  </si>
  <si>
    <t xml:space="preserve">SOUTH DAKOTA </t>
  </si>
  <si>
    <t>TENNESSEE #9</t>
  </si>
  <si>
    <t>TEXAS #13</t>
  </si>
  <si>
    <t>UTAH #21</t>
  </si>
  <si>
    <t xml:space="preserve">VERMONT </t>
  </si>
  <si>
    <t>VIRGINIA #20</t>
  </si>
  <si>
    <t>VIRGINIA SurChg #20</t>
  </si>
  <si>
    <t>WASHINGTON #11</t>
  </si>
  <si>
    <t>WEST VIRGINIA #23</t>
  </si>
  <si>
    <t xml:space="preserve">WISCONSIN </t>
  </si>
  <si>
    <t xml:space="preserve">WYOMING </t>
  </si>
  <si>
    <t>State/Province</t>
  </si>
  <si>
    <t>Currency</t>
  </si>
  <si>
    <t>Abb.</t>
  </si>
  <si>
    <t>Mileage</t>
  </si>
  <si>
    <t>Fuel</t>
  </si>
  <si>
    <t>KMs</t>
  </si>
  <si>
    <t>Litres</t>
  </si>
  <si>
    <t>IN Sur</t>
  </si>
  <si>
    <t>KY Sur</t>
  </si>
  <si>
    <t>VA Sur</t>
  </si>
  <si>
    <t xml:space="preserve">TOTAL </t>
  </si>
  <si>
    <t>Province/ State</t>
  </si>
  <si>
    <t>ACTUAL Mileage</t>
  </si>
  <si>
    <t>CALCULATED MILEAGE</t>
  </si>
  <si>
    <t>ROUNDED</t>
  </si>
  <si>
    <t>CANADA Calculation</t>
  </si>
  <si>
    <t xml:space="preserve">ACTAUL Canadian Mileage </t>
  </si>
  <si>
    <t xml:space="preserve">PROJECTED Canadian Mileage </t>
  </si>
  <si>
    <t>TOTAL MILEAGE</t>
  </si>
  <si>
    <t>ACTUAL CANDIAN MILEAGE</t>
  </si>
  <si>
    <t>ACTUAL MILEAGE %</t>
  </si>
  <si>
    <t>REUIRED % OF Mileage</t>
  </si>
  <si>
    <t>REQUIRED MILEAGE FOR CANADA</t>
  </si>
  <si>
    <t xml:space="preserve">% OF CHANGE REQUIRED IN CA </t>
  </si>
  <si>
    <t xml:space="preserve">ACTUAL US Mileage </t>
  </si>
  <si>
    <t xml:space="preserve">PROJECTED US Mileage </t>
  </si>
  <si>
    <t>US Calculation</t>
  </si>
  <si>
    <t>ACTUAL US MILEAGE</t>
  </si>
  <si>
    <t>REQUIRED MILEAGE FOR US</t>
  </si>
  <si>
    <t xml:space="preserve">% OF CHANGE REQUIRED IN US </t>
  </si>
  <si>
    <t>TOTAL MILEAGE - CANADIAN MILEAGE</t>
  </si>
  <si>
    <t xml:space="preserve">Total </t>
  </si>
  <si>
    <t xml:space="preserve">MILEAGE ADJUSTER </t>
  </si>
  <si>
    <t>Kentucky Sur</t>
  </si>
  <si>
    <t>Indiana Sur</t>
  </si>
  <si>
    <t>Data State</t>
  </si>
  <si>
    <t>Virginia Sur</t>
  </si>
  <si>
    <t>4th Quarter 2019</t>
  </si>
  <si>
    <t>STATE</t>
  </si>
  <si>
    <t>MILES</t>
  </si>
  <si>
    <t>RATE</t>
  </si>
  <si>
    <t>TAX DUE</t>
  </si>
  <si>
    <t>WDMT CALCULATIONS</t>
  </si>
  <si>
    <t>MILEAGE PERCETAGE ADJUSTER</t>
  </si>
  <si>
    <t>% OF TOTAL</t>
  </si>
  <si>
    <t>COUNTRY</t>
  </si>
  <si>
    <t>New Rounded</t>
  </si>
  <si>
    <t>US</t>
  </si>
  <si>
    <t>CANADIAN PROVINCES - MILEAGE AND PRCENTAGE ADJUSTMENT</t>
  </si>
  <si>
    <t>CA MILEAGE</t>
  </si>
  <si>
    <t xml:space="preserve">%Tage </t>
  </si>
  <si>
    <t>Required</t>
  </si>
  <si>
    <t>Change</t>
  </si>
  <si>
    <t>Final</t>
  </si>
  <si>
    <t>Total</t>
  </si>
  <si>
    <t>Actual Total Mileage</t>
  </si>
  <si>
    <t>Required Total Mileage</t>
  </si>
  <si>
    <t>KPL</t>
  </si>
  <si>
    <t>Province/State</t>
  </si>
  <si>
    <t>Final Mileage</t>
  </si>
  <si>
    <t>Final Fuel</t>
  </si>
  <si>
    <t>Data Item</t>
  </si>
  <si>
    <t>Net Fuel Quantity</t>
  </si>
  <si>
    <t>Amount Due/Credit</t>
  </si>
  <si>
    <t>Carbon Tax Calcualtion</t>
  </si>
  <si>
    <t>Net Amount Credit/Due</t>
  </si>
  <si>
    <t>CA Provinces %  Adjuster</t>
  </si>
  <si>
    <t>US/CA and Total Mileage Adjuster</t>
  </si>
  <si>
    <t>US/CA and Total Fuel Adjuster</t>
  </si>
  <si>
    <t xml:space="preserve">Fuel ADJUSTER </t>
  </si>
  <si>
    <t xml:space="preserve">ACTAUL Canadian Fuel </t>
  </si>
  <si>
    <t xml:space="preserve">PROJECTED Canadian Fuel </t>
  </si>
  <si>
    <t xml:space="preserve">ACTUAL US Fuel </t>
  </si>
  <si>
    <t xml:space="preserve">PROJECTED US Fuel </t>
  </si>
  <si>
    <t>TOTAL Fuel</t>
  </si>
  <si>
    <t>ACTUAL CANDIAN Fuel</t>
  </si>
  <si>
    <t>ACTUAL Fuel %</t>
  </si>
  <si>
    <t>REUIRED % OF Fuel</t>
  </si>
  <si>
    <t>REQUIRED Fuel FOR CANADA</t>
  </si>
  <si>
    <t>ACTUAL US Fuel</t>
  </si>
  <si>
    <t>REQUIRED Fuel FOR US</t>
  </si>
  <si>
    <t>TOTAL Fuel - CANADIAN Fuel</t>
  </si>
  <si>
    <t>CANADIAN PROVINCES - Fuel AND PRCENTAGE ADJUSTMENT</t>
  </si>
  <si>
    <t>CA Fuel</t>
  </si>
  <si>
    <t>Actual Total Fuel</t>
  </si>
  <si>
    <t>Required Total Fuel</t>
  </si>
  <si>
    <t>Nevada</t>
  </si>
  <si>
    <t>Indiana SurChg</t>
  </si>
  <si>
    <t>Kentucky SurChg</t>
  </si>
  <si>
    <t>Virginia SurChg</t>
  </si>
  <si>
    <t>IFTA Tax Calculation For The Quarter Ending Mar 31, 2024</t>
  </si>
  <si>
    <t xml:space="preserve">IFTA 2024 1st Quarter </t>
  </si>
  <si>
    <t>0.2139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</si>
</sst>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0.0000"/>
    <numFmt numFmtId="166" formatCode="0.0"/>
    <numFmt numFmtId="167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10"/>
      <color indexed="8"/>
      <name val="Arial Narrow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1"/>
      <color theme="0" tint="-4.9989318521683403E-2"/>
      <name val="Calibri"/>
      <family val="2"/>
      <scheme val="minor"/>
    </font>
    <font>
      <sz val="8"/>
      <color indexed="8"/>
      <name val="MS Sans Serif"/>
      <family val="2"/>
    </font>
    <font>
      <b/>
      <sz val="11"/>
      <color rgb="FF006100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2"/>
      </left>
      <right style="thin">
        <color indexed="64"/>
      </right>
      <top style="thin">
        <color indexed="8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4" tint="0.39991454817346722"/>
      </left>
      <right/>
      <top/>
      <bottom/>
      <diagonal/>
    </border>
    <border>
      <left/>
      <right style="medium">
        <color theme="4" tint="0.39991454817346722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</borders>
  <cellStyleXfs count="17">
    <xf numFmtId="0" fontId="0" fillId="0" borderId="0"/>
    <xf numFmtId="0" fontId="3" fillId="2" borderId="0" applyNumberFormat="0" applyBorder="0" applyAlignment="0" applyProtection="0"/>
    <xf numFmtId="0" fontId="5" fillId="0" borderId="5" applyNumberFormat="0" applyFill="0" applyAlignment="0" applyProtection="0"/>
    <xf numFmtId="0" fontId="1" fillId="3" borderId="6" applyNumberFormat="0" applyFont="0" applyAlignment="0" applyProtection="0"/>
    <xf numFmtId="0" fontId="10" fillId="0" borderId="0"/>
    <xf numFmtId="0" fontId="17" fillId="6" borderId="4" applyNumberFormat="0" applyAlignment="0" applyProtection="0"/>
    <xf numFmtId="0" fontId="18" fillId="0" borderId="10" applyNumberFormat="0" applyFill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21" fillId="14" borderId="0" applyNumberFormat="0" applyBorder="0" applyAlignment="0" applyProtection="0"/>
    <xf numFmtId="0" fontId="22" fillId="15" borderId="4" applyNumberFormat="0" applyAlignment="0" applyProtection="0"/>
    <xf numFmtId="0" fontId="4" fillId="16" borderId="19" applyNumberFormat="0" applyAlignment="0" applyProtection="0"/>
    <xf numFmtId="0" fontId="1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</cellStyleXfs>
  <cellXfs count="198">
    <xf numFmtId="0" fontId="0" fillId="0" borderId="0" xfId="0"/>
    <xf numFmtId="0" fontId="11" fillId="5" borderId="8" xfId="4" applyFont="1" applyFill="1" applyBorder="1" applyAlignment="1">
      <alignment horizontal="center"/>
    </xf>
    <xf numFmtId="0" fontId="11" fillId="0" borderId="9" xfId="4" applyFont="1" applyBorder="1" applyAlignment="1">
      <alignment horizontal="center" wrapText="1"/>
    </xf>
    <xf numFmtId="0" fontId="0" fillId="0" borderId="0" xfId="0" applyProtection="1">
      <protection hidden="1"/>
    </xf>
    <xf numFmtId="49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center" vertical="center"/>
      <protection hidden="1"/>
    </xf>
    <xf numFmtId="49" fontId="14" fillId="0" borderId="1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 wrapText="1"/>
      <protection hidden="1"/>
    </xf>
    <xf numFmtId="49" fontId="13" fillId="0" borderId="0" xfId="0" applyNumberFormat="1" applyFont="1" applyAlignment="1" applyProtection="1">
      <alignment horizontal="center" vertical="center"/>
      <protection hidden="1"/>
    </xf>
    <xf numFmtId="164" fontId="14" fillId="0" borderId="0" xfId="0" applyNumberFormat="1" applyFont="1" applyAlignment="1" applyProtection="1">
      <alignment horizontal="center" vertical="center"/>
      <protection hidden="1"/>
    </xf>
    <xf numFmtId="49" fontId="14" fillId="0" borderId="0" xfId="0" applyNumberFormat="1" applyFont="1" applyAlignment="1" applyProtection="1">
      <alignment horizontal="center" vertical="center"/>
      <protection hidden="1"/>
    </xf>
    <xf numFmtId="0" fontId="11" fillId="0" borderId="11" xfId="4" applyFont="1" applyBorder="1" applyAlignment="1">
      <alignment horizontal="left" wrapText="1"/>
    </xf>
    <xf numFmtId="0" fontId="11" fillId="0" borderId="12" xfId="4" applyFont="1" applyBorder="1" applyAlignment="1">
      <alignment horizontal="left" wrapText="1"/>
    </xf>
    <xf numFmtId="0" fontId="12" fillId="0" borderId="12" xfId="4" applyFont="1" applyBorder="1" applyAlignment="1">
      <alignment horizontal="left" wrapText="1"/>
    </xf>
    <xf numFmtId="0" fontId="0" fillId="4" borderId="0" xfId="0" applyFill="1" applyProtection="1">
      <protection hidden="1"/>
    </xf>
    <xf numFmtId="0" fontId="1" fillId="7" borderId="0" xfId="7" applyAlignment="1" applyProtection="1">
      <alignment horizontal="left" vertical="center" wrapText="1"/>
      <protection hidden="1"/>
    </xf>
    <xf numFmtId="0" fontId="1" fillId="11" borderId="0" xfId="7" applyFill="1" applyAlignment="1" applyProtection="1">
      <alignment horizontal="left" vertical="center" wrapText="1"/>
      <protection hidden="1"/>
    </xf>
    <xf numFmtId="0" fontId="1" fillId="11" borderId="0" xfId="7" applyFill="1" applyProtection="1">
      <protection hidden="1"/>
    </xf>
    <xf numFmtId="165" fontId="14" fillId="0" borderId="1" xfId="0" applyNumberFormat="1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0" fontId="1" fillId="12" borderId="0" xfId="7" applyFill="1" applyProtection="1">
      <protection hidden="1"/>
    </xf>
    <xf numFmtId="0" fontId="1" fillId="11" borderId="0" xfId="10" applyFill="1" applyBorder="1" applyAlignment="1" applyProtection="1">
      <alignment horizontal="center"/>
      <protection hidden="1"/>
    </xf>
    <xf numFmtId="1" fontId="1" fillId="11" borderId="0" xfId="10" applyNumberFormat="1" applyFill="1" applyBorder="1" applyAlignment="1" applyProtection="1">
      <alignment horizontal="center"/>
      <protection hidden="1"/>
    </xf>
    <xf numFmtId="0" fontId="9" fillId="4" borderId="13" xfId="2" applyFont="1" applyFill="1" applyBorder="1" applyAlignment="1" applyProtection="1">
      <alignment horizontal="center" vertical="center" wrapText="1"/>
      <protection hidden="1"/>
    </xf>
    <xf numFmtId="2" fontId="9" fillId="4" borderId="13" xfId="2" applyNumberFormat="1" applyFont="1" applyFill="1" applyBorder="1" applyAlignment="1" applyProtection="1">
      <alignment horizontal="center" vertical="center" wrapText="1"/>
      <protection hidden="1"/>
    </xf>
    <xf numFmtId="165" fontId="9" fillId="4" borderId="13" xfId="2" applyNumberFormat="1" applyFont="1" applyFill="1" applyBorder="1" applyAlignment="1" applyProtection="1">
      <alignment horizontal="center" vertical="center" wrapText="1"/>
      <protection hidden="1"/>
    </xf>
    <xf numFmtId="0" fontId="1" fillId="11" borderId="0" xfId="9" applyFill="1" applyBorder="1" applyAlignment="1" applyProtection="1">
      <alignment horizontal="center" vertical="center" wrapText="1"/>
      <protection hidden="1"/>
    </xf>
    <xf numFmtId="2" fontId="1" fillId="11" borderId="0" xfId="9" applyNumberFormat="1" applyFill="1" applyBorder="1" applyAlignment="1" applyProtection="1">
      <alignment horizontal="center" vertical="center" wrapText="1"/>
      <protection hidden="1"/>
    </xf>
    <xf numFmtId="165" fontId="1" fillId="11" borderId="0" xfId="9" applyNumberFormat="1" applyFill="1" applyBorder="1" applyAlignment="1" applyProtection="1">
      <alignment horizontal="center" vertical="center" wrapText="1"/>
      <protection hidden="1"/>
    </xf>
    <xf numFmtId="0" fontId="1" fillId="11" borderId="17" xfId="9" applyFill="1" applyBorder="1" applyAlignment="1" applyProtection="1">
      <alignment horizontal="center" vertical="center" wrapText="1"/>
      <protection hidden="1"/>
    </xf>
    <xf numFmtId="2" fontId="1" fillId="11" borderId="17" xfId="9" applyNumberFormat="1" applyFill="1" applyBorder="1" applyAlignment="1" applyProtection="1">
      <alignment horizontal="center" vertical="center" wrapText="1"/>
      <protection hidden="1"/>
    </xf>
    <xf numFmtId="165" fontId="1" fillId="11" borderId="17" xfId="9" applyNumberFormat="1" applyFill="1" applyBorder="1" applyAlignment="1" applyProtection="1">
      <alignment horizontal="center" vertical="center" wrapText="1"/>
      <protection hidden="1"/>
    </xf>
    <xf numFmtId="0" fontId="7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Protection="1">
      <protection hidden="1"/>
    </xf>
    <xf numFmtId="2" fontId="8" fillId="0" borderId="14" xfId="0" applyNumberFormat="1" applyFont="1" applyBorder="1" applyProtection="1">
      <protection hidden="1"/>
    </xf>
    <xf numFmtId="165" fontId="8" fillId="0" borderId="14" xfId="0" applyNumberFormat="1" applyFont="1" applyBorder="1" applyProtection="1">
      <protection hidden="1"/>
    </xf>
    <xf numFmtId="2" fontId="1" fillId="11" borderId="0" xfId="10" applyNumberFormat="1" applyFill="1" applyBorder="1" applyAlignment="1" applyProtection="1">
      <alignment horizontal="center"/>
      <protection hidden="1"/>
    </xf>
    <xf numFmtId="0" fontId="4" fillId="4" borderId="14" xfId="5" applyFont="1" applyFill="1" applyBorder="1" applyProtection="1">
      <protection hidden="1"/>
    </xf>
    <xf numFmtId="0" fontId="4" fillId="4" borderId="14" xfId="5" applyFont="1" applyFill="1" applyBorder="1" applyAlignment="1" applyProtection="1">
      <protection hidden="1"/>
    </xf>
    <xf numFmtId="0" fontId="0" fillId="0" borderId="1" xfId="0" applyBorder="1" applyProtection="1">
      <protection hidden="1"/>
    </xf>
    <xf numFmtId="0" fontId="4" fillId="4" borderId="0" xfId="7" applyFont="1" applyFill="1" applyAlignment="1" applyProtection="1">
      <alignment horizontal="center" vertical="center"/>
      <protection hidden="1"/>
    </xf>
    <xf numFmtId="0" fontId="23" fillId="11" borderId="0" xfId="0" applyFont="1" applyFill="1" applyProtection="1">
      <protection hidden="1"/>
    </xf>
    <xf numFmtId="0" fontId="23" fillId="11" borderId="0" xfId="0" applyFont="1" applyFill="1" applyProtection="1">
      <protection locked="0"/>
    </xf>
    <xf numFmtId="3" fontId="23" fillId="11" borderId="0" xfId="0" applyNumberFormat="1" applyFont="1" applyFill="1" applyProtection="1">
      <protection locked="0"/>
    </xf>
    <xf numFmtId="3" fontId="23" fillId="11" borderId="0" xfId="0" applyNumberFormat="1" applyFont="1" applyFill="1" applyProtection="1">
      <protection hidden="1"/>
    </xf>
    <xf numFmtId="0" fontId="1" fillId="17" borderId="0" xfId="14" applyBorder="1" applyAlignment="1" applyProtection="1">
      <alignment horizontal="center" wrapText="1"/>
      <protection hidden="1"/>
    </xf>
    <xf numFmtId="0" fontId="1" fillId="17" borderId="0" xfId="14" applyBorder="1" applyAlignment="1" applyProtection="1">
      <alignment horizontal="center" vertical="center"/>
      <protection hidden="1"/>
    </xf>
    <xf numFmtId="3" fontId="1" fillId="11" borderId="0" xfId="14" applyNumberFormat="1" applyFill="1" applyBorder="1" applyProtection="1">
      <protection hidden="1"/>
    </xf>
    <xf numFmtId="0" fontId="1" fillId="17" borderId="0" xfId="14" applyBorder="1" applyProtection="1">
      <protection hidden="1"/>
    </xf>
    <xf numFmtId="0" fontId="0" fillId="0" borderId="17" xfId="0" applyBorder="1"/>
    <xf numFmtId="0" fontId="0" fillId="0" borderId="17" xfId="0" applyBorder="1" applyProtection="1">
      <protection hidden="1"/>
    </xf>
    <xf numFmtId="166" fontId="25" fillId="0" borderId="0" xfId="0" applyNumberFormat="1" applyFont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0" fontId="10" fillId="0" borderId="17" xfId="4" applyBorder="1" applyAlignment="1" applyProtection="1">
      <alignment wrapTex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 wrapText="1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horizontal="center" vertical="center" wrapText="1"/>
      <protection hidden="1"/>
    </xf>
    <xf numFmtId="1" fontId="4" fillId="4" borderId="0" xfId="0" applyNumberFormat="1" applyFont="1" applyFill="1" applyAlignment="1" applyProtection="1">
      <alignment horizontal="center" vertical="center" wrapText="1"/>
      <protection hidden="1"/>
    </xf>
    <xf numFmtId="1" fontId="4" fillId="4" borderId="0" xfId="0" applyNumberFormat="1" applyFont="1" applyFill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0" fontId="1" fillId="0" borderId="0" xfId="11" applyNumberFormat="1" applyFont="1" applyFill="1" applyBorder="1" applyAlignment="1" applyProtection="1">
      <alignment horizontal="center" vertical="center"/>
      <protection hidden="1"/>
    </xf>
    <xf numFmtId="0" fontId="6" fillId="20" borderId="22" xfId="10" applyFont="1" applyFill="1" applyBorder="1" applyAlignment="1" applyProtection="1">
      <alignment horizontal="center"/>
      <protection hidden="1"/>
    </xf>
    <xf numFmtId="0" fontId="6" fillId="20" borderId="22" xfId="8" applyFont="1" applyFill="1" applyBorder="1" applyAlignment="1" applyProtection="1">
      <alignment horizontal="center" vertical="center"/>
      <protection hidden="1"/>
    </xf>
    <xf numFmtId="1" fontId="1" fillId="20" borderId="22" xfId="11" applyNumberFormat="1" applyFont="1" applyFill="1" applyBorder="1" applyAlignment="1" applyProtection="1">
      <alignment horizontal="center" vertical="center"/>
      <protection hidden="1"/>
    </xf>
    <xf numFmtId="10" fontId="1" fillId="20" borderId="22" xfId="11" applyNumberFormat="1" applyFont="1" applyFill="1" applyBorder="1" applyAlignment="1" applyProtection="1">
      <alignment horizontal="center" vertical="center"/>
      <protection hidden="1"/>
    </xf>
    <xf numFmtId="0" fontId="6" fillId="11" borderId="22" xfId="6" applyFont="1" applyFill="1" applyBorder="1" applyAlignment="1" applyProtection="1">
      <alignment horizontal="center" wrapText="1"/>
      <protection hidden="1"/>
    </xf>
    <xf numFmtId="0" fontId="6" fillId="11" borderId="22" xfId="10" applyFont="1" applyFill="1" applyBorder="1" applyAlignment="1" applyProtection="1">
      <alignment horizontal="center"/>
      <protection hidden="1"/>
    </xf>
    <xf numFmtId="1" fontId="26" fillId="11" borderId="22" xfId="0" applyNumberFormat="1" applyFont="1" applyFill="1" applyBorder="1" applyAlignment="1" applyProtection="1">
      <alignment horizontal="center" vertical="top" shrinkToFit="1"/>
      <protection locked="0" hidden="1"/>
    </xf>
    <xf numFmtId="2" fontId="1" fillId="11" borderId="22" xfId="11" applyNumberFormat="1" applyFont="1" applyFill="1" applyBorder="1" applyAlignment="1" applyProtection="1">
      <alignment horizontal="center" vertical="center"/>
      <protection hidden="1"/>
    </xf>
    <xf numFmtId="1" fontId="1" fillId="11" borderId="22" xfId="11" applyNumberFormat="1" applyFont="1" applyFill="1" applyBorder="1" applyAlignment="1" applyProtection="1">
      <alignment horizontal="center" vertical="center"/>
      <protection hidden="1"/>
    </xf>
    <xf numFmtId="10" fontId="1" fillId="11" borderId="22" xfId="11" applyNumberFormat="1" applyFont="1" applyFill="1" applyBorder="1" applyAlignment="1" applyProtection="1">
      <alignment horizontal="center" vertical="center"/>
      <protection hidden="1"/>
    </xf>
    <xf numFmtId="0" fontId="6" fillId="11" borderId="22" xfId="8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12" applyFont="1" applyFill="1" applyBorder="1" applyAlignment="1" applyProtection="1">
      <alignment horizontal="center" vertical="center" wrapText="1"/>
      <protection hidden="1"/>
    </xf>
    <xf numFmtId="0" fontId="4" fillId="4" borderId="0" xfId="12" applyFont="1" applyFill="1" applyBorder="1" applyAlignment="1" applyProtection="1">
      <alignment horizontal="center" vertical="center" wrapText="1"/>
      <protection hidden="1"/>
    </xf>
    <xf numFmtId="2" fontId="6" fillId="0" borderId="0" xfId="0" applyNumberFormat="1" applyFont="1" applyAlignment="1" applyProtection="1">
      <alignment horizontal="center" vertical="center"/>
      <protection hidden="1"/>
    </xf>
    <xf numFmtId="2" fontId="6" fillId="0" borderId="17" xfId="0" applyNumberFormat="1" applyFont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4" fillId="0" borderId="0" xfId="13" applyFill="1" applyBorder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167" fontId="25" fillId="0" borderId="0" xfId="0" applyNumberFormat="1" applyFont="1" applyAlignment="1" applyProtection="1">
      <alignment horizontal="center" vertical="center"/>
      <protection hidden="1"/>
    </xf>
    <xf numFmtId="167" fontId="22" fillId="15" borderId="4" xfId="12" applyNumberFormat="1" applyAlignment="1" applyProtection="1">
      <alignment horizontal="center" vertical="center"/>
      <protection locked="0" hidden="1"/>
    </xf>
    <xf numFmtId="166" fontId="25" fillId="0" borderId="23" xfId="0" applyNumberFormat="1" applyFont="1" applyBorder="1" applyAlignment="1" applyProtection="1">
      <alignment vertical="center"/>
      <protection hidden="1"/>
    </xf>
    <xf numFmtId="0" fontId="10" fillId="0" borderId="0" xfId="4" applyAlignment="1" applyProtection="1">
      <alignment wrapText="1"/>
      <protection hidden="1"/>
    </xf>
    <xf numFmtId="167" fontId="22" fillId="15" borderId="24" xfId="12" applyNumberFormat="1" applyBorder="1" applyAlignment="1" applyProtection="1">
      <alignment horizontal="center" vertical="center" wrapText="1"/>
      <protection locked="0" hidden="1"/>
    </xf>
    <xf numFmtId="0" fontId="6" fillId="0" borderId="0" xfId="0" applyFont="1" applyProtection="1">
      <protection hidden="1"/>
    </xf>
    <xf numFmtId="166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6" fillId="22" borderId="0" xfId="0" applyFont="1" applyFill="1" applyProtection="1">
      <protection hidden="1"/>
    </xf>
    <xf numFmtId="166" fontId="0" fillId="22" borderId="0" xfId="0" applyNumberFormat="1" applyFill="1" applyProtection="1">
      <protection hidden="1"/>
    </xf>
    <xf numFmtId="2" fontId="0" fillId="22" borderId="0" xfId="0" applyNumberFormat="1" applyFill="1" applyProtection="1">
      <protection hidden="1"/>
    </xf>
    <xf numFmtId="0" fontId="4" fillId="4" borderId="0" xfId="0" applyFont="1" applyFill="1" applyProtection="1">
      <protection hidden="1"/>
    </xf>
    <xf numFmtId="166" fontId="27" fillId="4" borderId="0" xfId="0" applyNumberFormat="1" applyFont="1" applyFill="1" applyProtection="1">
      <protection hidden="1"/>
    </xf>
    <xf numFmtId="2" fontId="27" fillId="4" borderId="0" xfId="0" applyNumberFormat="1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4" fillId="4" borderId="0" xfId="1" applyFont="1" applyFill="1" applyBorder="1" applyAlignment="1" applyProtection="1">
      <alignment horizontal="center" wrapText="1"/>
      <protection hidden="1"/>
    </xf>
    <xf numFmtId="0" fontId="4" fillId="4" borderId="0" xfId="1" applyFont="1" applyFill="1" applyBorder="1" applyProtection="1">
      <protection hidden="1"/>
    </xf>
    <xf numFmtId="0" fontId="6" fillId="23" borderId="0" xfId="8" applyFont="1" applyFill="1" applyAlignment="1">
      <alignment horizontal="center" vertical="center" wrapText="1"/>
    </xf>
    <xf numFmtId="0" fontId="6" fillId="23" borderId="0" xfId="8" applyFont="1" applyFill="1" applyAlignment="1">
      <alignment horizontal="center" vertical="center"/>
    </xf>
    <xf numFmtId="0" fontId="6" fillId="0" borderId="0" xfId="7" applyFont="1" applyFill="1" applyAlignment="1" applyProtection="1">
      <alignment horizontal="center" vertical="center"/>
      <protection locked="0" hidden="1"/>
    </xf>
    <xf numFmtId="0" fontId="6" fillId="0" borderId="0" xfId="7" applyFont="1" applyFill="1" applyAlignment="1" applyProtection="1">
      <alignment vertical="center"/>
      <protection hidden="1"/>
    </xf>
    <xf numFmtId="0" fontId="0" fillId="13" borderId="0" xfId="3" applyNumberFormat="1" applyFont="1" applyFill="1" applyBorder="1" applyProtection="1">
      <protection locked="0"/>
    </xf>
    <xf numFmtId="3" fontId="1" fillId="13" borderId="0" xfId="3" applyNumberFormat="1" applyFont="1" applyFill="1" applyBorder="1" applyProtection="1">
      <protection locked="0"/>
    </xf>
    <xf numFmtId="3" fontId="6" fillId="20" borderId="0" xfId="15" applyNumberFormat="1" applyFont="1" applyFill="1"/>
    <xf numFmtId="0" fontId="6" fillId="24" borderId="22" xfId="6" applyFont="1" applyFill="1" applyBorder="1" applyAlignment="1" applyProtection="1">
      <alignment horizontal="center" wrapText="1"/>
      <protection hidden="1"/>
    </xf>
    <xf numFmtId="0" fontId="6" fillId="24" borderId="22" xfId="10" applyFont="1" applyFill="1" applyBorder="1" applyAlignment="1" applyProtection="1">
      <alignment horizontal="center"/>
      <protection hidden="1"/>
    </xf>
    <xf numFmtId="1" fontId="26" fillId="24" borderId="22" xfId="0" applyNumberFormat="1" applyFont="1" applyFill="1" applyBorder="1" applyAlignment="1" applyProtection="1">
      <alignment horizontal="center" vertical="top" shrinkToFit="1"/>
      <protection locked="0" hidden="1"/>
    </xf>
    <xf numFmtId="2" fontId="1" fillId="24" borderId="22" xfId="11" applyNumberFormat="1" applyFont="1" applyFill="1" applyBorder="1" applyAlignment="1" applyProtection="1">
      <alignment horizontal="center" vertical="center"/>
      <protection hidden="1"/>
    </xf>
    <xf numFmtId="1" fontId="1" fillId="24" borderId="22" xfId="11" applyNumberFormat="1" applyFont="1" applyFill="1" applyBorder="1" applyAlignment="1" applyProtection="1">
      <alignment horizontal="center" vertical="center"/>
      <protection hidden="1"/>
    </xf>
    <xf numFmtId="10" fontId="1" fillId="24" borderId="22" xfId="11" applyNumberFormat="1" applyFont="1" applyFill="1" applyBorder="1" applyAlignment="1" applyProtection="1">
      <alignment horizontal="center" vertical="center"/>
      <protection hidden="1"/>
    </xf>
    <xf numFmtId="0" fontId="6" fillId="23" borderId="0" xfId="8" applyFont="1" applyFill="1" applyAlignment="1">
      <alignment vertical="center"/>
    </xf>
    <xf numFmtId="10" fontId="0" fillId="11" borderId="22" xfId="11" applyNumberFormat="1" applyFont="1" applyFill="1" applyBorder="1" applyAlignment="1" applyProtection="1">
      <alignment horizontal="center" vertical="center"/>
      <protection hidden="1"/>
    </xf>
    <xf numFmtId="0" fontId="0" fillId="11" borderId="0" xfId="7" applyFont="1" applyFill="1" applyProtection="1">
      <protection hidden="1"/>
    </xf>
    <xf numFmtId="0" fontId="4" fillId="4" borderId="0" xfId="0" applyFont="1" applyFill="1"/>
    <xf numFmtId="0" fontId="4" fillId="4" borderId="0" xfId="7" applyFont="1" applyFill="1" applyAlignment="1" applyProtection="1">
      <alignment horizontal="center" vertical="center"/>
      <protection locked="0" hidden="1"/>
    </xf>
    <xf numFmtId="0" fontId="4" fillId="4" borderId="0" xfId="7" applyFont="1" applyFill="1" applyAlignment="1" applyProtection="1">
      <alignment vertical="center"/>
      <protection locked="0" hidden="1"/>
    </xf>
    <xf numFmtId="167" fontId="0" fillId="0" borderId="0" xfId="0" applyNumberFormat="1" applyProtection="1">
      <protection hidden="1"/>
    </xf>
    <xf numFmtId="167" fontId="0" fillId="0" borderId="0" xfId="0" applyNumberFormat="1" applyProtection="1">
      <protection locked="0" hidden="1"/>
    </xf>
    <xf numFmtId="167" fontId="0" fillId="22" borderId="0" xfId="0" applyNumberFormat="1" applyFill="1" applyProtection="1">
      <protection hidden="1"/>
    </xf>
    <xf numFmtId="167" fontId="0" fillId="22" borderId="0" xfId="0" applyNumberFormat="1" applyFill="1" applyProtection="1">
      <protection locked="0" hidden="1"/>
    </xf>
    <xf numFmtId="167" fontId="27" fillId="4" borderId="0" xfId="0" applyNumberFormat="1" applyFont="1" applyFill="1" applyProtection="1">
      <protection hidden="1"/>
    </xf>
    <xf numFmtId="167" fontId="27" fillId="4" borderId="0" xfId="0" applyNumberFormat="1" applyFont="1" applyFill="1" applyProtection="1">
      <protection locked="0" hidden="1"/>
    </xf>
    <xf numFmtId="49" fontId="0" fillId="11" borderId="1" xfId="0" applyNumberFormat="1" applyFill="1" applyBorder="1"/>
    <xf numFmtId="49" fontId="2" fillId="4" borderId="1" xfId="0" applyNumberFormat="1" applyFont="1" applyFill="1" applyBorder="1"/>
    <xf numFmtId="49" fontId="2" fillId="25" borderId="1" xfId="0" applyNumberFormat="1" applyFont="1" applyFill="1" applyBorder="1"/>
    <xf numFmtId="49" fontId="0" fillId="0" borderId="0" xfId="0" applyNumberFormat="1"/>
    <xf numFmtId="49" fontId="2" fillId="4" borderId="28" xfId="0" applyNumberFormat="1" applyFont="1" applyFill="1" applyBorder="1"/>
    <xf numFmtId="49" fontId="2" fillId="4" borderId="26" xfId="0" applyNumberFormat="1" applyFont="1" applyFill="1" applyBorder="1"/>
    <xf numFmtId="49" fontId="29" fillId="14" borderId="27" xfId="11" applyNumberFormat="1" applyFont="1" applyBorder="1"/>
    <xf numFmtId="49" fontId="0" fillId="0" borderId="29" xfId="0" applyNumberFormat="1" applyBorder="1"/>
    <xf numFmtId="49" fontId="0" fillId="0" borderId="20" xfId="0" applyNumberFormat="1" applyBorder="1"/>
    <xf numFmtId="49" fontId="0" fillId="13" borderId="29" xfId="0" applyNumberFormat="1" applyFill="1" applyBorder="1"/>
    <xf numFmtId="49" fontId="0" fillId="13" borderId="20" xfId="0" applyNumberFormat="1" applyFill="1" applyBorder="1"/>
    <xf numFmtId="49" fontId="0" fillId="13" borderId="31" xfId="0" applyNumberFormat="1" applyFill="1" applyBorder="1"/>
    <xf numFmtId="49" fontId="0" fillId="13" borderId="32" xfId="0" applyNumberFormat="1" applyFill="1" applyBorder="1"/>
    <xf numFmtId="2" fontId="0" fillId="13" borderId="0" xfId="10" applyNumberFormat="1" applyFont="1" applyFill="1" applyBorder="1" applyAlignment="1" applyProtection="1">
      <alignment horizontal="center" wrapText="1"/>
      <protection hidden="1"/>
    </xf>
    <xf numFmtId="2" fontId="1" fillId="13" borderId="0" xfId="10" applyNumberFormat="1" applyFill="1" applyBorder="1" applyAlignment="1" applyProtection="1">
      <alignment horizontal="center" vertical="center"/>
      <protection hidden="1"/>
    </xf>
    <xf numFmtId="2" fontId="1" fillId="11" borderId="0" xfId="7" applyNumberFormat="1" applyFill="1" applyProtection="1">
      <protection hidden="1"/>
    </xf>
    <xf numFmtId="2" fontId="4" fillId="4" borderId="14" xfId="6" applyNumberFormat="1" applyFont="1" applyFill="1" applyBorder="1" applyAlignment="1">
      <alignment horizontal="center" wrapText="1"/>
    </xf>
    <xf numFmtId="0" fontId="1" fillId="13" borderId="0" xfId="10" applyNumberFormat="1" applyFill="1" applyBorder="1" applyAlignment="1" applyProtection="1">
      <alignment horizontal="center" vertical="center"/>
      <protection hidden="1"/>
    </xf>
    <xf numFmtId="0" fontId="1" fillId="11" borderId="0" xfId="10" applyNumberFormat="1" applyFill="1" applyBorder="1" applyAlignment="1" applyProtection="1">
      <alignment horizontal="center" vertical="center"/>
      <protection hidden="1"/>
    </xf>
    <xf numFmtId="2" fontId="29" fillId="14" borderId="34" xfId="11" applyNumberFormat="1" applyFont="1" applyBorder="1"/>
    <xf numFmtId="2" fontId="29" fillId="14" borderId="30" xfId="11" applyNumberFormat="1" applyFont="1" applyBorder="1"/>
    <xf numFmtId="2" fontId="29" fillId="14" borderId="33" xfId="11" applyNumberFormat="1" applyFont="1" applyBorder="1"/>
    <xf numFmtId="1" fontId="6" fillId="13" borderId="0" xfId="11" applyNumberFormat="1" applyFont="1" applyFill="1" applyBorder="1" applyAlignment="1" applyProtection="1">
      <alignment horizontal="center" vertical="center"/>
      <protection locked="0" hidden="1"/>
    </xf>
    <xf numFmtId="1" fontId="1" fillId="13" borderId="0" xfId="10" applyNumberFormat="1" applyFill="1" applyBorder="1" applyAlignment="1" applyProtection="1">
      <alignment horizontal="center" vertical="center"/>
      <protection hidden="1"/>
    </xf>
    <xf numFmtId="1" fontId="6" fillId="13" borderId="0" xfId="3" applyNumberFormat="1" applyFont="1" applyFill="1" applyBorder="1" applyAlignment="1" applyProtection="1">
      <alignment horizontal="center" vertical="center"/>
      <protection locked="0"/>
    </xf>
    <xf numFmtId="1" fontId="6" fillId="11" borderId="0" xfId="11" applyNumberFormat="1" applyFont="1" applyFill="1" applyBorder="1" applyAlignment="1" applyProtection="1">
      <alignment horizontal="center" vertical="center"/>
      <protection locked="0" hidden="1"/>
    </xf>
    <xf numFmtId="1" fontId="6" fillId="11" borderId="0" xfId="3" applyNumberFormat="1" applyFont="1" applyFill="1" applyBorder="1" applyAlignment="1" applyProtection="1">
      <alignment horizontal="center"/>
      <protection locked="0"/>
    </xf>
    <xf numFmtId="2" fontId="0" fillId="11" borderId="1" xfId="0" applyNumberFormat="1" applyFill="1" applyBorder="1"/>
    <xf numFmtId="0" fontId="1" fillId="4" borderId="15" xfId="1" applyFont="1" applyFill="1" applyBorder="1" applyAlignment="1" applyProtection="1">
      <alignment horizontal="center"/>
      <protection hidden="1"/>
    </xf>
    <xf numFmtId="0" fontId="1" fillId="4" borderId="0" xfId="1" applyFont="1" applyFill="1" applyBorder="1" applyAlignment="1" applyProtection="1">
      <alignment horizontal="center"/>
      <protection hidden="1"/>
    </xf>
    <xf numFmtId="0" fontId="1" fillId="4" borderId="16" xfId="1" applyFont="1" applyFill="1" applyBorder="1" applyAlignment="1" applyProtection="1">
      <alignment horizontal="center"/>
      <protection hidden="1"/>
    </xf>
    <xf numFmtId="2" fontId="1" fillId="11" borderId="17" xfId="10" applyNumberFormat="1" applyFill="1" applyBorder="1" applyAlignment="1" applyProtection="1">
      <alignment horizontal="center"/>
      <protection hidden="1"/>
    </xf>
    <xf numFmtId="2" fontId="1" fillId="11" borderId="0" xfId="10" applyNumberFormat="1" applyFill="1" applyBorder="1" applyAlignment="1" applyProtection="1">
      <alignment horizontal="center"/>
      <protection hidden="1"/>
    </xf>
    <xf numFmtId="1" fontId="6" fillId="11" borderId="18" xfId="3" applyNumberFormat="1" applyFont="1" applyFill="1" applyBorder="1" applyAlignment="1" applyProtection="1">
      <alignment horizontal="center"/>
      <protection locked="0"/>
    </xf>
    <xf numFmtId="0" fontId="4" fillId="4" borderId="14" xfId="8" applyFont="1" applyFill="1" applyBorder="1" applyAlignment="1" applyProtection="1">
      <alignment horizontal="center" vertical="center"/>
      <protection hidden="1"/>
    </xf>
    <xf numFmtId="0" fontId="19" fillId="4" borderId="1" xfId="9" applyFont="1" applyFill="1" applyBorder="1" applyAlignment="1" applyProtection="1">
      <alignment horizontal="center" vertical="center"/>
      <protection hidden="1"/>
    </xf>
    <xf numFmtId="0" fontId="19" fillId="4" borderId="13" xfId="9" applyFont="1" applyFill="1" applyBorder="1" applyAlignment="1" applyProtection="1">
      <alignment horizontal="center" vertical="center"/>
      <protection hidden="1"/>
    </xf>
    <xf numFmtId="0" fontId="1" fillId="11" borderId="17" xfId="10" applyFill="1" applyBorder="1" applyAlignment="1" applyProtection="1">
      <alignment horizontal="center"/>
      <protection hidden="1"/>
    </xf>
    <xf numFmtId="0" fontId="6" fillId="11" borderId="17" xfId="7" applyFont="1" applyFill="1" applyBorder="1" applyAlignment="1" applyProtection="1">
      <alignment horizontal="center" vertical="center"/>
      <protection hidden="1"/>
    </xf>
    <xf numFmtId="0" fontId="6" fillId="11" borderId="0" xfId="9" applyFont="1" applyFill="1" applyBorder="1" applyAlignment="1" applyProtection="1">
      <alignment horizontal="center" vertical="center" wrapText="1"/>
      <protection hidden="1"/>
    </xf>
    <xf numFmtId="0" fontId="1" fillId="11" borderId="0" xfId="10" applyFill="1" applyBorder="1" applyAlignment="1" applyProtection="1">
      <alignment horizontal="center"/>
      <protection hidden="1"/>
    </xf>
    <xf numFmtId="0" fontId="4" fillId="4" borderId="0" xfId="0" applyFont="1" applyFill="1" applyAlignment="1">
      <alignment horizontal="center"/>
    </xf>
    <xf numFmtId="2" fontId="0" fillId="26" borderId="25" xfId="0" applyNumberFormat="1" applyFill="1" applyBorder="1" applyAlignment="1">
      <alignment horizontal="center" vertical="center"/>
    </xf>
    <xf numFmtId="2" fontId="0" fillId="26" borderId="0" xfId="0" applyNumberFormat="1" applyFill="1" applyAlignment="1">
      <alignment horizontal="center" vertical="center"/>
    </xf>
    <xf numFmtId="49" fontId="0" fillId="27" borderId="25" xfId="0" applyNumberFormat="1" applyFill="1" applyBorder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hidden="1"/>
    </xf>
    <xf numFmtId="49" fontId="13" fillId="0" borderId="2" xfId="0" applyNumberFormat="1" applyFont="1" applyBorder="1" applyAlignment="1" applyProtection="1">
      <alignment horizontal="center" vertical="center"/>
      <protection hidden="1"/>
    </xf>
    <xf numFmtId="49" fontId="13" fillId="0" borderId="3" xfId="0" applyNumberFormat="1" applyFont="1" applyBorder="1" applyAlignment="1" applyProtection="1">
      <alignment horizontal="center" vertical="center"/>
      <protection hidden="1"/>
    </xf>
    <xf numFmtId="0" fontId="4" fillId="4" borderId="0" xfId="16" applyFont="1" applyFill="1" applyAlignment="1">
      <alignment horizontal="center"/>
    </xf>
    <xf numFmtId="0" fontId="4" fillId="23" borderId="0" xfId="16" applyFont="1" applyFill="1" applyAlignment="1" applyProtection="1">
      <alignment horizontal="center" vertical="center"/>
      <protection hidden="1"/>
    </xf>
    <xf numFmtId="0" fontId="6" fillId="28" borderId="26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27" fillId="21" borderId="0" xfId="0" applyFont="1" applyFill="1" applyAlignment="1" applyProtection="1">
      <alignment horizontal="left" vertical="center"/>
      <protection hidden="1"/>
    </xf>
    <xf numFmtId="0" fontId="4" fillId="4" borderId="0" xfId="12" applyFont="1" applyFill="1" applyBorder="1" applyAlignment="1" applyProtection="1">
      <alignment horizontal="center" vertical="center" wrapText="1"/>
      <protection hidden="1"/>
    </xf>
    <xf numFmtId="0" fontId="4" fillId="4" borderId="17" xfId="12" applyFont="1" applyFill="1" applyBorder="1" applyAlignment="1" applyProtection="1">
      <alignment horizontal="center" vertical="center" wrapText="1"/>
      <protection hidden="1"/>
    </xf>
    <xf numFmtId="2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4" fillId="4" borderId="0" xfId="0" applyFont="1" applyFill="1" applyAlignment="1" applyProtection="1">
      <alignment horizontal="center" vertical="center" wrapText="1"/>
      <protection hidden="1"/>
    </xf>
    <xf numFmtId="0" fontId="24" fillId="4" borderId="0" xfId="0" applyFont="1" applyFill="1" applyAlignment="1" applyProtection="1">
      <alignment horizontal="center" wrapText="1"/>
      <protection hidden="1"/>
    </xf>
    <xf numFmtId="0" fontId="28" fillId="0" borderId="0" xfId="4" applyFont="1" applyAlignment="1" applyProtection="1">
      <alignment horizontal="center" vertical="center" wrapText="1"/>
      <protection hidden="1"/>
    </xf>
    <xf numFmtId="0" fontId="28" fillId="0" borderId="17" xfId="4" applyFont="1" applyBorder="1" applyAlignment="1" applyProtection="1">
      <alignment horizontal="center" vertical="center" wrapText="1"/>
      <protection hidden="1"/>
    </xf>
    <xf numFmtId="0" fontId="4" fillId="4" borderId="0" xfId="0" applyFont="1" applyFill="1" applyAlignment="1" applyProtection="1">
      <alignment horizontal="center"/>
      <protection hidden="1"/>
    </xf>
    <xf numFmtId="0" fontId="4" fillId="4" borderId="0" xfId="0" applyFont="1" applyFill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4" fillId="4" borderId="0" xfId="0" applyFont="1" applyFill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" fontId="0" fillId="0" borderId="20" xfId="0" applyNumberFormat="1" applyBorder="1"/>
    <xf numFmtId="1" fontId="0" fillId="13" borderId="20" xfId="0" applyNumberFormat="1" applyFill="1" applyBorder="1"/>
    <xf numFmtId="1" fontId="0" fillId="13" borderId="32" xfId="0" applyNumberFormat="1" applyFill="1" applyBorder="1"/>
  </cellXfs>
  <cellStyles count="17">
    <cellStyle name="20% - Accent2" xfId="14" builtinId="34"/>
    <cellStyle name="20% - Accent3" xfId="7" builtinId="38"/>
    <cellStyle name="20% - Accent5" xfId="9" builtinId="46"/>
    <cellStyle name="20% - Accent6" xfId="10" builtinId="50"/>
    <cellStyle name="Accent3" xfId="15" builtinId="37"/>
    <cellStyle name="Accent4" xfId="16" builtinId="41"/>
    <cellStyle name="Accent5" xfId="8" builtinId="45"/>
    <cellStyle name="Bad" xfId="1" builtinId="27"/>
    <cellStyle name="Calculation" xfId="5" builtinId="22"/>
    <cellStyle name="Check Cell" xfId="13" builtinId="23"/>
    <cellStyle name="Good" xfId="11" builtinId="26"/>
    <cellStyle name="Heading 3" xfId="2" builtinId="18"/>
    <cellStyle name="Input" xfId="12" builtinId="20"/>
    <cellStyle name="Linked Cell" xfId="6" builtinId="24"/>
    <cellStyle name="Normal" xfId="0" builtinId="0"/>
    <cellStyle name="Normal_JURISDICTIONS" xfId="4" xr:uid="{00000000-0005-0000-0000-00000F000000}"/>
    <cellStyle name="Note" xfId="3" builtinId="10"/>
  </cellStyles>
  <dxfs count="13">
    <dxf>
      <fill>
        <patternFill>
          <bgColor rgb="FF00CC00"/>
        </patternFill>
      </fill>
    </dxf>
    <dxf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66FF66"/>
      <color rgb="FFF7EAE9"/>
      <color rgb="FF66FF99"/>
      <color rgb="FFFFFFFF"/>
      <color rgb="FFFFFFB9"/>
      <color rgb="FFBC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76</xdr:row>
      <xdr:rowOff>187140</xdr:rowOff>
    </xdr:from>
    <xdr:to>
      <xdr:col>11</xdr:col>
      <xdr:colOff>419100</xdr:colOff>
      <xdr:row>78</xdr:row>
      <xdr:rowOff>101314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7086217" y="15211045"/>
          <a:ext cx="165288" cy="952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91440</xdr:rowOff>
        </xdr:from>
        <xdr:to>
          <xdr:col>11</xdr:col>
          <xdr:colOff>662940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190500</xdr:colOff>
      <xdr:row>78</xdr:row>
      <xdr:rowOff>112568</xdr:rowOff>
    </xdr:from>
    <xdr:to>
      <xdr:col>11</xdr:col>
      <xdr:colOff>688730</xdr:colOff>
      <xdr:row>80</xdr:row>
      <xdr:rowOff>138545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260523" y="15352568"/>
          <a:ext cx="1225593" cy="4069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Arial" panose="020B0604020202020204" pitchFamily="34" charset="0"/>
            </a:rPr>
            <a:t> (P)</a:t>
          </a:r>
        </a:p>
        <a:p>
          <a:pPr algn="r"/>
          <a:r>
            <a:rPr lang="en-US" sz="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(Total Tax Due</a:t>
          </a:r>
          <a:r>
            <a:rPr lang="en-US" sz="800">
              <a:latin typeface="Arial Narrow" panose="020B0606020202030204" pitchFamily="34" charset="0"/>
            </a:rPr>
            <a:t> </a:t>
          </a:r>
          <a:r>
            <a:rPr lang="en-US" sz="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or credit</a:t>
          </a:r>
          <a:r>
            <a:rPr lang="en-US" sz="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US" sz="8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13</xdr:row>
          <xdr:rowOff>60960</xdr:rowOff>
        </xdr:from>
        <xdr:to>
          <xdr:col>4</xdr:col>
          <xdr:colOff>701040</xdr:colOff>
          <xdr:row>13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Juris.    Abb</a:t>
              </a: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13</xdr:row>
          <xdr:rowOff>60960</xdr:rowOff>
        </xdr:from>
        <xdr:to>
          <xdr:col>10</xdr:col>
          <xdr:colOff>662940</xdr:colOff>
          <xdr:row>13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Tax 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0</xdr:row>
          <xdr:rowOff>60960</xdr:rowOff>
        </xdr:from>
        <xdr:to>
          <xdr:col>4</xdr:col>
          <xdr:colOff>213360</xdr:colOff>
          <xdr:row>2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 Return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114300</xdr:rowOff>
        </xdr:from>
        <xdr:to>
          <xdr:col>7</xdr:col>
          <xdr:colOff>480060</xdr:colOff>
          <xdr:row>2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 Return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A217"/>
  <sheetViews>
    <sheetView showGridLines="0" topLeftCell="C4" zoomScale="69" zoomScaleNormal="100" workbookViewId="0">
      <selection activeCell="R60" sqref="R60"/>
    </sheetView>
  </sheetViews>
  <sheetFormatPr defaultColWidth="10.77734375" defaultRowHeight="14.4" x14ac:dyDescent="0.3"/>
  <cols>
    <col min="1" max="1" width="10.33203125" style="3" hidden="1" customWidth="1"/>
    <col min="2" max="2" width="0" style="3" hidden="1" customWidth="1"/>
    <col min="3" max="3" width="4" style="3" customWidth="1"/>
    <col min="4" max="4" width="19.77734375" style="3" bestFit="1" customWidth="1"/>
    <col min="5" max="5" width="12.77734375" style="3" customWidth="1"/>
    <col min="6" max="6" width="11.6640625" style="3" customWidth="1"/>
    <col min="7" max="7" width="12.33203125" style="3" customWidth="1"/>
    <col min="8" max="8" width="10" style="3" customWidth="1"/>
    <col min="9" max="9" width="11.6640625" style="3" customWidth="1"/>
    <col min="10" max="10" width="9.44140625" style="3" customWidth="1"/>
    <col min="11" max="12" width="10.77734375" style="3" customWidth="1"/>
    <col min="13" max="16384" width="10.77734375" style="3"/>
  </cols>
  <sheetData>
    <row r="1" spans="1:27" x14ac:dyDescent="0.3">
      <c r="A1" s="15"/>
      <c r="B1" s="15"/>
      <c r="C1" s="16"/>
      <c r="D1" s="17"/>
      <c r="E1" s="161" t="s">
        <v>301</v>
      </c>
      <c r="F1" s="161"/>
      <c r="G1" s="161"/>
      <c r="H1" s="161"/>
      <c r="I1" s="161"/>
      <c r="J1" s="20"/>
      <c r="K1" s="20"/>
      <c r="L1" s="20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x14ac:dyDescent="0.3">
      <c r="A2" s="15"/>
      <c r="B2" s="15"/>
      <c r="C2" s="16"/>
      <c r="D2" s="17"/>
      <c r="E2" s="161"/>
      <c r="F2" s="161"/>
      <c r="G2" s="161"/>
      <c r="H2" s="161"/>
      <c r="I2" s="161"/>
      <c r="J2" s="20"/>
      <c r="K2" s="20"/>
      <c r="L2" s="20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x14ac:dyDescent="0.3">
      <c r="A3" s="15"/>
      <c r="B3" s="15"/>
      <c r="C3" s="16"/>
      <c r="D3" s="17"/>
      <c r="E3" s="162"/>
      <c r="F3" s="162"/>
      <c r="G3" s="162"/>
      <c r="H3" s="162"/>
      <c r="I3" s="162"/>
      <c r="J3" s="20"/>
      <c r="K3" s="20"/>
      <c r="L3" s="20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19.95" customHeight="1" x14ac:dyDescent="0.3">
      <c r="A4" s="15"/>
      <c r="B4" s="15"/>
      <c r="C4" s="16"/>
      <c r="D4" s="17"/>
      <c r="E4" s="164" t="s">
        <v>300</v>
      </c>
      <c r="F4" s="164"/>
      <c r="G4" s="164"/>
      <c r="H4" s="164"/>
      <c r="I4" s="164"/>
      <c r="J4" s="164"/>
      <c r="K4" s="164"/>
      <c r="L4" s="164"/>
      <c r="M4" s="17"/>
      <c r="N4" s="116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</row>
    <row r="5" spans="1:27" x14ac:dyDescent="0.3">
      <c r="A5" s="15"/>
      <c r="B5" s="15"/>
      <c r="C5" s="16"/>
      <c r="D5" s="17"/>
      <c r="E5" s="37"/>
      <c r="F5" s="160" t="s">
        <v>87</v>
      </c>
      <c r="G5" s="160"/>
      <c r="H5" s="160"/>
      <c r="I5" s="159"/>
      <c r="J5" s="159"/>
      <c r="K5" s="159"/>
      <c r="L5" s="38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</row>
    <row r="6" spans="1:27" ht="15.6" hidden="1" x14ac:dyDescent="0.3">
      <c r="A6" s="15"/>
      <c r="B6" s="15"/>
      <c r="C6" s="16"/>
      <c r="D6" s="17"/>
      <c r="E6" s="32"/>
      <c r="F6" s="32"/>
      <c r="G6" s="32"/>
      <c r="H6" s="32"/>
      <c r="I6" s="32"/>
      <c r="J6" s="32"/>
      <c r="K6" s="32"/>
      <c r="L6" s="32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</row>
    <row r="7" spans="1:27" ht="15.45" customHeight="1" x14ac:dyDescent="0.3">
      <c r="A7" s="15"/>
      <c r="B7" s="15"/>
      <c r="C7" s="16"/>
      <c r="D7" s="17"/>
      <c r="E7" s="165" t="s">
        <v>78</v>
      </c>
      <c r="F7" s="165"/>
      <c r="G7" s="165"/>
      <c r="H7" s="165" t="s">
        <v>79</v>
      </c>
      <c r="I7" s="165"/>
      <c r="J7" s="165"/>
      <c r="K7" s="165" t="s">
        <v>80</v>
      </c>
      <c r="L7" s="165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</row>
    <row r="8" spans="1:27" ht="15.45" customHeight="1" x14ac:dyDescent="0.3">
      <c r="A8" s="15"/>
      <c r="B8" s="15"/>
      <c r="C8" s="16"/>
      <c r="D8" s="17"/>
      <c r="E8" s="166" t="s">
        <v>62</v>
      </c>
      <c r="F8" s="166"/>
      <c r="G8" s="166"/>
      <c r="H8" s="166" t="s">
        <v>63</v>
      </c>
      <c r="I8" s="166"/>
      <c r="J8" s="166"/>
      <c r="K8" s="158" t="s">
        <v>64</v>
      </c>
      <c r="L8" s="158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ht="15.45" customHeight="1" x14ac:dyDescent="0.3">
      <c r="A9" s="15"/>
      <c r="B9" s="15"/>
      <c r="C9" s="16"/>
      <c r="D9" s="17"/>
      <c r="E9" s="163" t="s">
        <v>65</v>
      </c>
      <c r="F9" s="163"/>
      <c r="G9" s="163"/>
      <c r="H9" s="163" t="s">
        <v>65</v>
      </c>
      <c r="I9" s="163"/>
      <c r="J9" s="163"/>
      <c r="K9" s="157" t="s">
        <v>66</v>
      </c>
      <c r="L9" s="15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ht="15.45" customHeight="1" x14ac:dyDescent="0.3">
      <c r="A10" s="15"/>
      <c r="B10" s="15"/>
      <c r="C10" s="16"/>
      <c r="D10" s="17"/>
      <c r="E10" s="21"/>
      <c r="F10" s="22">
        <f ca="1">F77</f>
        <v>0</v>
      </c>
      <c r="G10" s="21"/>
      <c r="H10" s="36"/>
      <c r="I10" s="22">
        <f ca="1">I77</f>
        <v>0</v>
      </c>
      <c r="J10" s="21"/>
      <c r="K10" s="158" t="e">
        <f ca="1">ROUND((F10/I10),2)</f>
        <v>#DIV/0!</v>
      </c>
      <c r="L10" s="158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ht="15.6" hidden="1" x14ac:dyDescent="0.3">
      <c r="A11" s="15"/>
      <c r="B11" s="15"/>
      <c r="C11" s="16"/>
      <c r="D11" s="17"/>
      <c r="E11" s="33"/>
      <c r="F11" s="33"/>
      <c r="G11" s="33"/>
      <c r="H11" s="34"/>
      <c r="I11" s="33"/>
      <c r="J11" s="33"/>
      <c r="K11" s="35"/>
      <c r="L11" s="34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s="7" customFormat="1" ht="15.6" x14ac:dyDescent="0.3">
      <c r="A12" s="15"/>
      <c r="B12" s="15"/>
      <c r="C12" s="16"/>
      <c r="D12" s="16"/>
      <c r="E12" s="23" t="s">
        <v>67</v>
      </c>
      <c r="F12" s="23" t="s">
        <v>68</v>
      </c>
      <c r="G12" s="23" t="s">
        <v>69</v>
      </c>
      <c r="H12" s="24" t="s">
        <v>70</v>
      </c>
      <c r="I12" s="23" t="s">
        <v>71</v>
      </c>
      <c r="J12" s="23" t="s">
        <v>72</v>
      </c>
      <c r="K12" s="25" t="s">
        <v>82</v>
      </c>
      <c r="L12" s="24" t="s">
        <v>83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s="7" customFormat="1" ht="44.25" customHeight="1" x14ac:dyDescent="0.3">
      <c r="A13" s="15"/>
      <c r="B13" s="15"/>
      <c r="C13" s="16"/>
      <c r="D13" s="16"/>
      <c r="E13" s="29" t="s">
        <v>73</v>
      </c>
      <c r="F13" s="29" t="s">
        <v>74</v>
      </c>
      <c r="G13" s="29" t="s">
        <v>75</v>
      </c>
      <c r="H13" s="30" t="s">
        <v>0</v>
      </c>
      <c r="I13" s="29" t="s">
        <v>1</v>
      </c>
      <c r="J13" s="29" t="s">
        <v>2</v>
      </c>
      <c r="K13" s="31" t="s">
        <v>3</v>
      </c>
      <c r="L13" s="30" t="s">
        <v>76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s="7" customFormat="1" ht="28.8" x14ac:dyDescent="0.3">
      <c r="A14" s="15"/>
      <c r="B14" s="15"/>
      <c r="C14" s="16"/>
      <c r="D14" s="16"/>
      <c r="E14" s="26"/>
      <c r="F14" s="26" t="s">
        <v>77</v>
      </c>
      <c r="G14" s="26" t="s">
        <v>77</v>
      </c>
      <c r="H14" s="27" t="s">
        <v>81</v>
      </c>
      <c r="I14" s="26" t="s">
        <v>77</v>
      </c>
      <c r="J14" s="26" t="s">
        <v>84</v>
      </c>
      <c r="K14" s="28"/>
      <c r="L14" s="27" t="s">
        <v>85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ht="5.25" customHeight="1" x14ac:dyDescent="0.3">
      <c r="A15" s="15"/>
      <c r="B15" s="15"/>
      <c r="C15" s="16"/>
      <c r="D15" s="14"/>
      <c r="E15" s="154"/>
      <c r="F15" s="155"/>
      <c r="G15" s="155"/>
      <c r="H15" s="155"/>
      <c r="I15" s="155"/>
      <c r="J15" s="155"/>
      <c r="K15" s="155"/>
      <c r="L15" s="15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3">
      <c r="A16" s="15"/>
      <c r="B16" s="15"/>
      <c r="C16" s="16"/>
      <c r="D16" s="139" t="s">
        <v>91</v>
      </c>
      <c r="E16" s="140" t="s">
        <v>5</v>
      </c>
      <c r="F16" s="148">
        <f ca="1">'Fuel and Mileage Auto Entries'!K4</f>
        <v>0</v>
      </c>
      <c r="G16" s="149">
        <f ca="1">F16</f>
        <v>0</v>
      </c>
      <c r="H16" s="149" t="e">
        <f t="shared" ref="H16:H76" ca="1" si="0">G16/$K$10</f>
        <v>#DIV/0!</v>
      </c>
      <c r="I16" s="150">
        <f ca="1">'Fuel and Mileage Auto Entries'!M4</f>
        <v>0</v>
      </c>
      <c r="J16" s="149" t="e">
        <f ca="1">H16-I16</f>
        <v>#DIV/0!</v>
      </c>
      <c r="K16" s="143">
        <v>0.1062</v>
      </c>
      <c r="L16" s="140" t="e">
        <f ca="1">J16*K16</f>
        <v>#DIV/0!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1:27" ht="15.45" customHeight="1" x14ac:dyDescent="0.3">
      <c r="A17" s="15"/>
      <c r="B17" s="15"/>
      <c r="C17" s="16"/>
      <c r="D17" s="36" t="s">
        <v>90</v>
      </c>
      <c r="E17" s="36" t="s">
        <v>4</v>
      </c>
      <c r="F17" s="151">
        <f ca="1">'Fuel and Mileage Auto Entries'!K5</f>
        <v>0</v>
      </c>
      <c r="G17" s="22">
        <f t="shared" ref="G17:G29" ca="1" si="1">F17</f>
        <v>0</v>
      </c>
      <c r="H17" s="22" t="e">
        <f t="shared" ca="1" si="0"/>
        <v>#DIV/0!</v>
      </c>
      <c r="I17" s="152">
        <f ca="1">'Fuel and Mileage Auto Entries'!M5</f>
        <v>0</v>
      </c>
      <c r="J17" s="22" t="e">
        <f t="shared" ref="J17:J76" ca="1" si="2">H17-I17</f>
        <v>#DIV/0!</v>
      </c>
      <c r="K17" s="144">
        <v>0.09</v>
      </c>
      <c r="L17" s="36" t="e">
        <f t="shared" ref="L17:L76" ca="1" si="3">J17*K17</f>
        <v>#DIV/0!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1:27" ht="15.45" customHeight="1" x14ac:dyDescent="0.3">
      <c r="A18" s="15"/>
      <c r="B18" s="15"/>
      <c r="C18" s="16"/>
      <c r="D18" s="139" t="s">
        <v>93</v>
      </c>
      <c r="E18" s="140" t="s">
        <v>7</v>
      </c>
      <c r="F18" s="148">
        <f ca="1">'Fuel and Mileage Auto Entries'!K6</f>
        <v>0</v>
      </c>
      <c r="G18" s="149">
        <f t="shared" ca="1" si="1"/>
        <v>0</v>
      </c>
      <c r="H18" s="149" t="e">
        <f t="shared" ca="1" si="0"/>
        <v>#DIV/0!</v>
      </c>
      <c r="I18" s="150">
        <f ca="1">'Fuel and Mileage Auto Entries'!M6</f>
        <v>0</v>
      </c>
      <c r="J18" s="149" t="e">
        <f t="shared" ca="1" si="2"/>
        <v>#DIV/0!</v>
      </c>
      <c r="K18" s="143">
        <v>9.1999999999999998E-2</v>
      </c>
      <c r="L18" s="140" t="e">
        <f t="shared" ca="1" si="3"/>
        <v>#DIV/0!</v>
      </c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1:27" ht="15.45" customHeight="1" x14ac:dyDescent="0.3">
      <c r="A19" s="15"/>
      <c r="B19" s="15"/>
      <c r="C19" s="16"/>
      <c r="D19" s="36" t="s">
        <v>92</v>
      </c>
      <c r="E19" s="36" t="s">
        <v>6</v>
      </c>
      <c r="F19" s="151">
        <f ca="1">'Fuel and Mileage Auto Entries'!K7</f>
        <v>0</v>
      </c>
      <c r="G19" s="22">
        <f t="shared" ca="1" si="1"/>
        <v>0</v>
      </c>
      <c r="H19" s="22" t="e">
        <f t="shared" ca="1" si="0"/>
        <v>#DIV/0!</v>
      </c>
      <c r="I19" s="152">
        <f ca="1">'Fuel and Mileage Auto Entries'!M7</f>
        <v>0</v>
      </c>
      <c r="J19" s="22" t="e">
        <f t="shared" ca="1" si="2"/>
        <v>#DIV/0!</v>
      </c>
      <c r="K19" s="144">
        <v>0.1008</v>
      </c>
      <c r="L19" s="36" t="e">
        <f t="shared" ca="1" si="3"/>
        <v>#DIV/0!</v>
      </c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1:27" ht="15.45" customHeight="1" x14ac:dyDescent="0.3">
      <c r="A20" s="15"/>
      <c r="B20" s="15"/>
      <c r="C20" s="16"/>
      <c r="D20" s="139" t="s">
        <v>94</v>
      </c>
      <c r="E20" s="140" t="s">
        <v>8</v>
      </c>
      <c r="F20" s="148">
        <f ca="1">'Fuel and Mileage Auto Entries'!K8</f>
        <v>0</v>
      </c>
      <c r="G20" s="149">
        <f t="shared" ca="1" si="1"/>
        <v>0</v>
      </c>
      <c r="H20" s="149" t="e">
        <f t="shared" ca="1" si="0"/>
        <v>#DIV/0!</v>
      </c>
      <c r="I20" s="150">
        <f ca="1">'Fuel and Mileage Auto Entries'!M8</f>
        <v>0</v>
      </c>
      <c r="J20" s="149" t="e">
        <f t="shared" ca="1" si="2"/>
        <v>#DIV/0!</v>
      </c>
      <c r="K20" s="143">
        <v>0.31850000000000001</v>
      </c>
      <c r="L20" s="140" t="e">
        <f t="shared" ca="1" si="3"/>
        <v>#DIV/0!</v>
      </c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1:27" ht="15.45" customHeight="1" x14ac:dyDescent="0.3">
      <c r="A21" s="15"/>
      <c r="B21" s="15"/>
      <c r="C21" s="16"/>
      <c r="D21" s="36" t="s">
        <v>95</v>
      </c>
      <c r="E21" s="36" t="s">
        <v>9</v>
      </c>
      <c r="F21" s="151">
        <f ca="1">'Fuel and Mileage Auto Entries'!K9</f>
        <v>0</v>
      </c>
      <c r="G21" s="22">
        <f t="shared" ca="1" si="1"/>
        <v>0</v>
      </c>
      <c r="H21" s="22" t="e">
        <f t="shared" ca="1" si="0"/>
        <v>#DIV/0!</v>
      </c>
      <c r="I21" s="152">
        <f ca="1">'Fuel and Mileage Auto Entries'!M9</f>
        <v>0</v>
      </c>
      <c r="J21" s="22" t="e">
        <f t="shared" ca="1" si="2"/>
        <v>#DIV/0!</v>
      </c>
      <c r="K21" s="144">
        <v>0.38519999999999999</v>
      </c>
      <c r="L21" s="36" t="e">
        <f t="shared" ca="1" si="3"/>
        <v>#DIV/0!</v>
      </c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1:27" ht="15.45" customHeight="1" x14ac:dyDescent="0.3">
      <c r="A22" s="15"/>
      <c r="B22" s="15"/>
      <c r="C22" s="16"/>
      <c r="D22" s="139" t="s">
        <v>96</v>
      </c>
      <c r="E22" s="140" t="s">
        <v>10</v>
      </c>
      <c r="F22" s="148">
        <f ca="1">'Fuel and Mileage Auto Entries'!K10</f>
        <v>0</v>
      </c>
      <c r="G22" s="149">
        <f t="shared" ca="1" si="1"/>
        <v>0</v>
      </c>
      <c r="H22" s="149" t="e">
        <f t="shared" ca="1" si="0"/>
        <v>#DIV/0!</v>
      </c>
      <c r="I22" s="150">
        <f ca="1">'Fuel and Mileage Auto Entries'!M10</f>
        <v>0</v>
      </c>
      <c r="J22" s="149" t="e">
        <f t="shared" ca="1" si="2"/>
        <v>#DIV/0!</v>
      </c>
      <c r="K22" s="143">
        <v>9.3700000000000006E-2</v>
      </c>
      <c r="L22" s="140" t="e">
        <f t="shared" ca="1" si="3"/>
        <v>#DIV/0!</v>
      </c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1:27" ht="15.45" customHeight="1" x14ac:dyDescent="0.3">
      <c r="A23" s="15"/>
      <c r="B23" s="15"/>
      <c r="C23" s="16"/>
      <c r="D23" s="36" t="s">
        <v>97</v>
      </c>
      <c r="E23" s="36" t="s">
        <v>11</v>
      </c>
      <c r="F23" s="151">
        <f ca="1">'Fuel and Mileage Auto Entries'!K11</f>
        <v>0</v>
      </c>
      <c r="G23" s="22">
        <f t="shared" ca="1" si="1"/>
        <v>0</v>
      </c>
      <c r="H23" s="22" t="e">
        <f t="shared" ca="1" si="0"/>
        <v>#DIV/0!</v>
      </c>
      <c r="I23" s="152">
        <f ca="1">'Fuel and Mileage Auto Entries'!M11</f>
        <v>0</v>
      </c>
      <c r="J23" s="22" t="e">
        <f t="shared" ca="1" si="2"/>
        <v>#DIV/0!</v>
      </c>
      <c r="K23" s="144">
        <v>0.1741</v>
      </c>
      <c r="L23" s="36" t="e">
        <f t="shared" ca="1" si="3"/>
        <v>#DIV/0!</v>
      </c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1:27" ht="15.45" customHeight="1" x14ac:dyDescent="0.3">
      <c r="A24" s="15"/>
      <c r="B24" s="15"/>
      <c r="C24" s="16"/>
      <c r="D24" s="139" t="s">
        <v>98</v>
      </c>
      <c r="E24" s="140" t="s">
        <v>12</v>
      </c>
      <c r="F24" s="148">
        <f ca="1">'Fuel and Mileage Auto Entries'!K12</f>
        <v>0</v>
      </c>
      <c r="G24" s="149">
        <f t="shared" ca="1" si="1"/>
        <v>0</v>
      </c>
      <c r="H24" s="149" t="e">
        <f t="shared" ca="1" si="0"/>
        <v>#DIV/0!</v>
      </c>
      <c r="I24" s="150">
        <f ca="1">'Fuel and Mileage Auto Entries'!M12</f>
        <v>0</v>
      </c>
      <c r="J24" s="149" t="e">
        <f t="shared" ca="1" si="2"/>
        <v>#DIV/0!</v>
      </c>
      <c r="K24" s="143">
        <v>7.7799999999999994E-2</v>
      </c>
      <c r="L24" s="140" t="e">
        <f t="shared" ca="1" si="3"/>
        <v>#DIV/0!</v>
      </c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1:27" ht="15.45" customHeight="1" x14ac:dyDescent="0.3">
      <c r="A25" s="15"/>
      <c r="B25" s="15"/>
      <c r="C25" s="16"/>
      <c r="D25" s="36" t="s">
        <v>99</v>
      </c>
      <c r="E25" s="36" t="s">
        <v>13</v>
      </c>
      <c r="F25" s="151">
        <f ca="1">'Fuel and Mileage Auto Entries'!K13</f>
        <v>0</v>
      </c>
      <c r="G25" s="22">
        <f t="shared" ca="1" si="1"/>
        <v>0</v>
      </c>
      <c r="H25" s="22" t="e">
        <f t="shared" ca="1" si="0"/>
        <v>#DIV/0!</v>
      </c>
      <c r="I25" s="152">
        <f ca="1">'Fuel and Mileage Auto Entries'!M13</f>
        <v>0</v>
      </c>
      <c r="J25" s="22" t="e">
        <f t="shared" ca="1" si="2"/>
        <v>#DIV/0!</v>
      </c>
      <c r="K25" s="144">
        <v>0.13969999999999999</v>
      </c>
      <c r="L25" s="36" t="e">
        <f t="shared" ca="1" si="3"/>
        <v>#DIV/0!</v>
      </c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1:27" ht="15.45" customHeight="1" x14ac:dyDescent="0.3">
      <c r="A26" s="15"/>
      <c r="B26" s="15"/>
      <c r="C26" s="16"/>
      <c r="D26" s="139" t="s">
        <v>100</v>
      </c>
      <c r="E26" s="140" t="s">
        <v>14</v>
      </c>
      <c r="F26" s="148">
        <f ca="1">'Fuel and Mileage Auto Entries'!K14</f>
        <v>0</v>
      </c>
      <c r="G26" s="149">
        <f t="shared" ca="1" si="1"/>
        <v>0</v>
      </c>
      <c r="H26" s="149" t="e">
        <f t="shared" ca="1" si="0"/>
        <v>#DIV/0!</v>
      </c>
      <c r="I26" s="150">
        <f ca="1">'Fuel and Mileage Auto Entries'!M14</f>
        <v>0</v>
      </c>
      <c r="J26" s="149" t="e">
        <f t="shared" ca="1" si="2"/>
        <v>#DIV/0!</v>
      </c>
      <c r="K26" s="143">
        <v>0.128</v>
      </c>
      <c r="L26" s="140" t="e">
        <f t="shared" ca="1" si="3"/>
        <v>#DIV/0!</v>
      </c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1:27" ht="15.45" customHeight="1" x14ac:dyDescent="0.3">
      <c r="A27" s="15"/>
      <c r="B27" s="15"/>
      <c r="C27" s="16"/>
      <c r="D27" s="36" t="s">
        <v>102</v>
      </c>
      <c r="E27" s="36" t="s">
        <v>16</v>
      </c>
      <c r="F27" s="151">
        <f ca="1">'Fuel and Mileage Auto Entries'!K15</f>
        <v>0</v>
      </c>
      <c r="G27" s="22">
        <f t="shared" ca="1" si="1"/>
        <v>0</v>
      </c>
      <c r="H27" s="22" t="e">
        <f t="shared" ca="1" si="0"/>
        <v>#DIV/0!</v>
      </c>
      <c r="I27" s="152">
        <f ca="1">'Fuel and Mileage Auto Entries'!M15</f>
        <v>0</v>
      </c>
      <c r="J27" s="22" t="e">
        <f t="shared" ca="1" si="2"/>
        <v>#DIV/0!</v>
      </c>
      <c r="K27" s="144">
        <v>0.11310000000000001</v>
      </c>
      <c r="L27" s="36" t="e">
        <f t="shared" ca="1" si="3"/>
        <v>#DIV/0!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:27" ht="15.45" customHeight="1" x14ac:dyDescent="0.3">
      <c r="A28" s="15"/>
      <c r="B28" s="15"/>
      <c r="C28" s="16"/>
      <c r="D28" s="139" t="s">
        <v>103</v>
      </c>
      <c r="E28" s="140" t="s">
        <v>17</v>
      </c>
      <c r="F28" s="148">
        <f ca="1">'Fuel and Mileage Auto Entries'!K16</f>
        <v>0</v>
      </c>
      <c r="G28" s="149">
        <f t="shared" ca="1" si="1"/>
        <v>0</v>
      </c>
      <c r="H28" s="149" t="e">
        <f t="shared" ca="1" si="0"/>
        <v>#DIV/0!</v>
      </c>
      <c r="I28" s="150">
        <f ca="1">'Fuel and Mileage Auto Entries'!M16</f>
        <v>0</v>
      </c>
      <c r="J28" s="149" t="e">
        <f t="shared" ca="1" si="2"/>
        <v>#DIV/0!</v>
      </c>
      <c r="K28" s="143">
        <v>0.26219999999999999</v>
      </c>
      <c r="L28" s="140" t="e">
        <f t="shared" ca="1" si="3"/>
        <v>#DIV/0!</v>
      </c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7" ht="15.45" customHeight="1" x14ac:dyDescent="0.3">
      <c r="A29" s="15"/>
      <c r="B29" s="15"/>
      <c r="C29" s="16"/>
      <c r="D29" s="36" t="s">
        <v>104</v>
      </c>
      <c r="E29" s="36" t="s">
        <v>18</v>
      </c>
      <c r="F29" s="151">
        <f ca="1">'Fuel and Mileage Auto Entries'!K17</f>
        <v>0</v>
      </c>
      <c r="G29" s="22">
        <f t="shared" ca="1" si="1"/>
        <v>0</v>
      </c>
      <c r="H29" s="22" t="e">
        <f ca="1">G29/$K$10</f>
        <v>#DIV/0!</v>
      </c>
      <c r="I29" s="152">
        <f ca="1">'Fuel and Mileage Auto Entries'!M17</f>
        <v>0</v>
      </c>
      <c r="J29" s="22" t="e">
        <f t="shared" ca="1" si="2"/>
        <v>#DIV/0!</v>
      </c>
      <c r="K29" s="144">
        <v>0.20169999999999999</v>
      </c>
      <c r="L29" s="36" t="e">
        <f t="shared" ca="1" si="3"/>
        <v>#DIV/0!</v>
      </c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7" ht="15.45" customHeight="1" x14ac:dyDescent="0.3">
      <c r="A30" s="15"/>
      <c r="B30" s="15"/>
      <c r="C30" s="16"/>
      <c r="D30" s="139" t="s">
        <v>297</v>
      </c>
      <c r="E30" s="140" t="s">
        <v>217</v>
      </c>
      <c r="F30" s="148">
        <f ca="1">'Fuel and Mileage Auto Entries'!K18</f>
        <v>0</v>
      </c>
      <c r="G30" s="149">
        <f ca="1">F30</f>
        <v>0</v>
      </c>
      <c r="H30" s="149" t="e">
        <f ca="1">H29</f>
        <v>#DIV/0!</v>
      </c>
      <c r="I30" s="150">
        <f ca="1">'Fuel and Mileage Auto Entries'!M18</f>
        <v>0</v>
      </c>
      <c r="J30" s="149" t="e">
        <f t="shared" ca="1" si="2"/>
        <v>#DIV/0!</v>
      </c>
      <c r="K30" s="143">
        <v>0</v>
      </c>
      <c r="L30" s="140" t="e">
        <f t="shared" ca="1" si="3"/>
        <v>#DIV/0!</v>
      </c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7" ht="15.45" customHeight="1" x14ac:dyDescent="0.3">
      <c r="A31" s="15"/>
      <c r="B31" s="15"/>
      <c r="C31" s="16"/>
      <c r="D31" s="36" t="s">
        <v>101</v>
      </c>
      <c r="E31" s="36" t="s">
        <v>15</v>
      </c>
      <c r="F31" s="151">
        <f ca="1">'Fuel and Mileage Auto Entries'!K19</f>
        <v>0</v>
      </c>
      <c r="G31" s="22">
        <f ca="1">F31</f>
        <v>0</v>
      </c>
      <c r="H31" s="22" t="e">
        <f t="shared" ca="1" si="0"/>
        <v>#DIV/0!</v>
      </c>
      <c r="I31" s="152">
        <f ca="1">'Fuel and Mileage Auto Entries'!M19</f>
        <v>0</v>
      </c>
      <c r="J31" s="22" t="e">
        <f t="shared" ca="1" si="2"/>
        <v>#DIV/0!</v>
      </c>
      <c r="K31" s="144">
        <v>0.115</v>
      </c>
      <c r="L31" s="36" t="e">
        <f t="shared" ca="1" si="3"/>
        <v>#DIV/0!</v>
      </c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7" ht="15.45" customHeight="1" x14ac:dyDescent="0.3">
      <c r="A32" s="15"/>
      <c r="B32" s="15"/>
      <c r="C32" s="16"/>
      <c r="D32" s="139" t="s">
        <v>105</v>
      </c>
      <c r="E32" s="140" t="s">
        <v>19</v>
      </c>
      <c r="F32" s="148">
        <f ca="1">'Fuel and Mileage Auto Entries'!K20</f>
        <v>0</v>
      </c>
      <c r="G32" s="149">
        <f ca="1">F32</f>
        <v>0</v>
      </c>
      <c r="H32" s="149" t="e">
        <f t="shared" ca="1" si="0"/>
        <v>#DIV/0!</v>
      </c>
      <c r="I32" s="150">
        <f ca="1">'Fuel and Mileage Auto Entries'!M20</f>
        <v>0</v>
      </c>
      <c r="J32" s="149" t="e">
        <f t="shared" ca="1" si="2"/>
        <v>#DIV/0!</v>
      </c>
      <c r="K32" s="143">
        <v>9.1999999999999998E-2</v>
      </c>
      <c r="L32" s="140" t="e">
        <f t="shared" ca="1" si="3"/>
        <v>#DIV/0!</v>
      </c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1:27" ht="15.45" customHeight="1" x14ac:dyDescent="0.3">
      <c r="A33" s="15"/>
      <c r="B33" s="15"/>
      <c r="C33" s="16"/>
      <c r="D33" s="36" t="s">
        <v>106</v>
      </c>
      <c r="E33" s="36" t="s">
        <v>20</v>
      </c>
      <c r="F33" s="151">
        <f ca="1">'Fuel and Mileage Auto Entries'!K21</f>
        <v>0</v>
      </c>
      <c r="G33" s="22">
        <f ca="1">F33</f>
        <v>0</v>
      </c>
      <c r="H33" s="22" t="e">
        <f t="shared" ca="1" si="0"/>
        <v>#DIV/0!</v>
      </c>
      <c r="I33" s="152">
        <f ca="1">'Fuel and Mileage Auto Entries'!M21</f>
        <v>0</v>
      </c>
      <c r="J33" s="22" t="e">
        <f t="shared" ca="1" si="2"/>
        <v>#DIV/0!</v>
      </c>
      <c r="K33" s="144">
        <v>9.0899999999999995E-2</v>
      </c>
      <c r="L33" s="36" t="e">
        <f t="shared" ca="1" si="3"/>
        <v>#DIV/0!</v>
      </c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ht="15.45" customHeight="1" x14ac:dyDescent="0.3">
      <c r="A34" s="15"/>
      <c r="B34" s="15"/>
      <c r="C34" s="16"/>
      <c r="D34" s="139" t="s">
        <v>298</v>
      </c>
      <c r="E34" s="140" t="s">
        <v>218</v>
      </c>
      <c r="F34" s="148">
        <f ca="1">'Fuel and Mileage Auto Entries'!K22</f>
        <v>0</v>
      </c>
      <c r="G34" s="149">
        <f t="shared" ref="G34:G71" ca="1" si="4">F34</f>
        <v>0</v>
      </c>
      <c r="H34" s="149" t="e">
        <f ca="1">H33</f>
        <v>#DIV/0!</v>
      </c>
      <c r="I34" s="150">
        <f ca="1">'Fuel and Mileage Auto Entries'!M22</f>
        <v>0</v>
      </c>
      <c r="J34" s="149" t="e">
        <f t="shared" ca="1" si="2"/>
        <v>#DIV/0!</v>
      </c>
      <c r="K34" s="143">
        <v>4.3900000000000002E-2</v>
      </c>
      <c r="L34" s="140" t="e">
        <f t="shared" ca="1" si="3"/>
        <v>#DIV/0!</v>
      </c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x14ac:dyDescent="0.3">
      <c r="A35" s="15"/>
      <c r="B35" s="15"/>
      <c r="C35" s="16"/>
      <c r="D35" s="36" t="s">
        <v>107</v>
      </c>
      <c r="E35" s="36" t="s">
        <v>21</v>
      </c>
      <c r="F35" s="151">
        <f ca="1">'Fuel and Mileage Auto Entries'!K23</f>
        <v>0</v>
      </c>
      <c r="G35" s="22">
        <f ca="1">F35</f>
        <v>0</v>
      </c>
      <c r="H35" s="22" t="e">
        <f t="shared" ca="1" si="0"/>
        <v>#DIV/0!</v>
      </c>
      <c r="I35" s="152">
        <f ca="1">'Fuel and Mileage Auto Entries'!M23</f>
        <v>0</v>
      </c>
      <c r="J35" s="22" t="e">
        <f t="shared" ca="1" si="2"/>
        <v>#DIV/0!</v>
      </c>
      <c r="K35" s="144">
        <v>7.0699999999999999E-2</v>
      </c>
      <c r="L35" s="36" t="e">
        <f t="shared" ca="1" si="3"/>
        <v>#DIV/0!</v>
      </c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 ht="15.45" customHeight="1" x14ac:dyDescent="0.3">
      <c r="A36" s="15"/>
      <c r="B36" s="15"/>
      <c r="C36" s="16"/>
      <c r="D36" s="139" t="s">
        <v>111</v>
      </c>
      <c r="E36" s="140" t="s">
        <v>23</v>
      </c>
      <c r="F36" s="148">
        <f ca="1">'Fuel and Mileage Auto Entries'!K24</f>
        <v>0</v>
      </c>
      <c r="G36" s="149">
        <f t="shared" ref="G36:G70" ca="1" si="5">F36</f>
        <v>0</v>
      </c>
      <c r="H36" s="149" t="e">
        <f t="shared" ca="1" si="0"/>
        <v>#DIV/0!</v>
      </c>
      <c r="I36" s="150">
        <f ca="1">'Fuel and Mileage Auto Entries'!M24</f>
        <v>0</v>
      </c>
      <c r="J36" s="149" t="e">
        <f t="shared" ca="1" si="2"/>
        <v>#DIV/0!</v>
      </c>
      <c r="K36" s="143">
        <v>0.1103</v>
      </c>
      <c r="L36" s="140" t="e">
        <f t="shared" ca="1" si="3"/>
        <v>#DIV/0!</v>
      </c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 ht="15.45" customHeight="1" x14ac:dyDescent="0.3">
      <c r="A37" s="15"/>
      <c r="B37" s="15"/>
      <c r="C37" s="16"/>
      <c r="D37" s="36" t="s">
        <v>109</v>
      </c>
      <c r="E37" s="36" t="s">
        <v>22</v>
      </c>
      <c r="F37" s="151">
        <f ca="1">'Fuel and Mileage Auto Entries'!K25</f>
        <v>0</v>
      </c>
      <c r="G37" s="22">
        <f t="shared" ca="1" si="5"/>
        <v>0</v>
      </c>
      <c r="H37" s="22" t="e">
        <f t="shared" ca="1" si="0"/>
        <v>#DIV/0!</v>
      </c>
      <c r="I37" s="152">
        <f ca="1">'Fuel and Mileage Auto Entries'!M25</f>
        <v>0</v>
      </c>
      <c r="J37" s="22" t="e">
        <f t="shared" ca="1" si="2"/>
        <v>#DIV/0!</v>
      </c>
      <c r="K37" s="144">
        <v>0</v>
      </c>
      <c r="L37" s="36" t="e">
        <f t="shared" ca="1" si="3"/>
        <v>#DIV/0!</v>
      </c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</row>
    <row r="38" spans="1:27" ht="15.45" customHeight="1" x14ac:dyDescent="0.3">
      <c r="A38" s="15"/>
      <c r="B38" s="15"/>
      <c r="C38" s="16"/>
      <c r="D38" s="139" t="s">
        <v>110</v>
      </c>
      <c r="E38" s="140" t="s">
        <v>24</v>
      </c>
      <c r="F38" s="148">
        <f ca="1">'Fuel and Mileage Auto Entries'!K26</f>
        <v>0</v>
      </c>
      <c r="G38" s="149">
        <f t="shared" ca="1" si="5"/>
        <v>0</v>
      </c>
      <c r="H38" s="149" t="e">
        <f t="shared" ca="1" si="0"/>
        <v>#DIV/0!</v>
      </c>
      <c r="I38" s="150">
        <f ca="1">'Fuel and Mileage Auto Entries'!M26</f>
        <v>0</v>
      </c>
      <c r="J38" s="149" t="e">
        <f t="shared" ca="1" si="2"/>
        <v>#DIV/0!</v>
      </c>
      <c r="K38" s="143">
        <v>0.16900000000000001</v>
      </c>
      <c r="L38" s="140" t="e">
        <f t="shared" ca="1" si="3"/>
        <v>#DIV/0!</v>
      </c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1:27" ht="15.45" customHeight="1" x14ac:dyDescent="0.3">
      <c r="A39" s="15"/>
      <c r="B39" s="15"/>
      <c r="C39" s="16"/>
      <c r="D39" s="36" t="s">
        <v>108</v>
      </c>
      <c r="E39" s="36" t="s">
        <v>25</v>
      </c>
      <c r="F39" s="151">
        <f ca="1">'Fuel and Mileage Auto Entries'!K27</f>
        <v>0</v>
      </c>
      <c r="G39" s="22">
        <f t="shared" ca="1" si="5"/>
        <v>0</v>
      </c>
      <c r="H39" s="22" t="e">
        <f t="shared" ca="1" si="0"/>
        <v>#DIV/0!</v>
      </c>
      <c r="I39" s="152">
        <f ca="1">'Fuel and Mileage Auto Entries'!M27</f>
        <v>0</v>
      </c>
      <c r="J39" s="22" t="e">
        <f t="shared" ca="1" si="2"/>
        <v>#DIV/0!</v>
      </c>
      <c r="K39" s="144">
        <v>8.4900000000000003E-2</v>
      </c>
      <c r="L39" s="36" t="e">
        <f t="shared" ca="1" si="3"/>
        <v>#DIV/0!</v>
      </c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1:27" ht="15.45" customHeight="1" x14ac:dyDescent="0.3">
      <c r="A40" s="15"/>
      <c r="B40" s="15"/>
      <c r="C40" s="16"/>
      <c r="D40" s="139" t="s">
        <v>112</v>
      </c>
      <c r="E40" s="140" t="s">
        <v>26</v>
      </c>
      <c r="F40" s="148"/>
      <c r="G40" s="149">
        <f t="shared" si="5"/>
        <v>0</v>
      </c>
      <c r="H40" s="149" t="e">
        <f t="shared" ca="1" si="0"/>
        <v>#DIV/0!</v>
      </c>
      <c r="I40" s="150">
        <f ca="1">'Fuel and Mileage Auto Entries'!M28</f>
        <v>0</v>
      </c>
      <c r="J40" s="149" t="e">
        <f t="shared" ca="1" si="2"/>
        <v>#DIV/0!</v>
      </c>
      <c r="K40" s="143">
        <v>0.17510000000000001</v>
      </c>
      <c r="L40" s="140" t="e">
        <f t="shared" ca="1" si="3"/>
        <v>#DIV/0!</v>
      </c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1:27" ht="15.45" customHeight="1" x14ac:dyDescent="0.3">
      <c r="A41" s="15"/>
      <c r="B41" s="15"/>
      <c r="C41" s="16"/>
      <c r="D41" s="36" t="s">
        <v>113</v>
      </c>
      <c r="E41" s="36" t="s">
        <v>27</v>
      </c>
      <c r="F41" s="151">
        <f ca="1">'Fuel and Mileage Auto Entries'!K29</f>
        <v>0</v>
      </c>
      <c r="G41" s="22">
        <f t="shared" ca="1" si="5"/>
        <v>0</v>
      </c>
      <c r="H41" s="22" t="e">
        <f t="shared" ca="1" si="0"/>
        <v>#DIV/0!</v>
      </c>
      <c r="I41" s="152">
        <f ca="1">'Fuel and Mileage Auto Entries'!M29</f>
        <v>0</v>
      </c>
      <c r="J41" s="22" t="e">
        <f t="shared" ca="1" si="2"/>
        <v>#DIV/0!</v>
      </c>
      <c r="K41" s="144">
        <v>0.1008</v>
      </c>
      <c r="L41" s="36" t="e">
        <f t="shared" ca="1" si="3"/>
        <v>#DIV/0!</v>
      </c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1:27" ht="15.45" customHeight="1" x14ac:dyDescent="0.3">
      <c r="A42" s="15"/>
      <c r="B42" s="15"/>
      <c r="C42" s="16"/>
      <c r="D42" s="139" t="s">
        <v>115</v>
      </c>
      <c r="E42" s="140" t="s">
        <v>28</v>
      </c>
      <c r="F42" s="148">
        <f ca="1">'Fuel and Mileage Auto Entries'!K30</f>
        <v>0</v>
      </c>
      <c r="G42" s="149">
        <f t="shared" ca="1" si="5"/>
        <v>0</v>
      </c>
      <c r="H42" s="149" t="e">
        <f t="shared" ca="1" si="0"/>
        <v>#DIV/0!</v>
      </c>
      <c r="I42" s="150">
        <f ca="1">'Fuel and Mileage Auto Entries'!M30</f>
        <v>0</v>
      </c>
      <c r="J42" s="149" t="e">
        <f t="shared" ca="1" si="2"/>
        <v>#DIV/0!</v>
      </c>
      <c r="K42" s="143">
        <v>6.3700000000000007E-2</v>
      </c>
      <c r="L42" s="140" t="e">
        <f t="shared" ca="1" si="3"/>
        <v>#DIV/0!</v>
      </c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1:27" ht="15.45" customHeight="1" x14ac:dyDescent="0.3">
      <c r="A43" s="15"/>
      <c r="B43" s="15"/>
      <c r="C43" s="16"/>
      <c r="D43" s="36" t="s">
        <v>114</v>
      </c>
      <c r="E43" s="36" t="s">
        <v>29</v>
      </c>
      <c r="F43" s="151">
        <f ca="1">'Fuel and Mileage Auto Entries'!K31</f>
        <v>0</v>
      </c>
      <c r="G43" s="22">
        <f t="shared" ca="1" si="5"/>
        <v>0</v>
      </c>
      <c r="H43" s="22" t="e">
        <f t="shared" ca="1" si="0"/>
        <v>#DIV/0!</v>
      </c>
      <c r="I43" s="152">
        <f ca="1">'Fuel and Mileage Auto Entries'!M31</f>
        <v>0</v>
      </c>
      <c r="J43" s="22" t="e">
        <f t="shared" ca="1" si="2"/>
        <v>#DIV/0!</v>
      </c>
      <c r="K43" s="144">
        <v>8.6599999999999996E-2</v>
      </c>
      <c r="L43" s="36" t="e">
        <f t="shared" ca="1" si="3"/>
        <v>#DIV/0!</v>
      </c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1:27" ht="15.45" customHeight="1" x14ac:dyDescent="0.3">
      <c r="A44" s="15"/>
      <c r="B44" s="15"/>
      <c r="C44" s="16"/>
      <c r="D44" s="139" t="s">
        <v>116</v>
      </c>
      <c r="E44" s="140" t="s">
        <v>30</v>
      </c>
      <c r="F44" s="148">
        <f ca="1">'Fuel and Mileage Auto Entries'!K32</f>
        <v>0</v>
      </c>
      <c r="G44" s="149">
        <f t="shared" ca="1" si="5"/>
        <v>0</v>
      </c>
      <c r="H44" s="149" t="e">
        <f t="shared" ca="1" si="0"/>
        <v>#DIV/0!</v>
      </c>
      <c r="I44" s="150">
        <f ca="1">'Fuel and Mileage Auto Entries'!M32</f>
        <v>0</v>
      </c>
      <c r="J44" s="149" t="e">
        <f t="shared" ca="1" si="2"/>
        <v>#DIV/0!</v>
      </c>
      <c r="K44" s="143">
        <v>0.1052</v>
      </c>
      <c r="L44" s="140" t="e">
        <f t="shared" ca="1" si="3"/>
        <v>#DIV/0!</v>
      </c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1:27" ht="15.45" customHeight="1" x14ac:dyDescent="0.3">
      <c r="A45" s="15"/>
      <c r="B45" s="15"/>
      <c r="C45" s="16"/>
      <c r="D45" s="36" t="s">
        <v>120</v>
      </c>
      <c r="E45" s="36" t="s">
        <v>31</v>
      </c>
      <c r="F45" s="151">
        <f ca="1">'Fuel and Mileage Auto Entries'!K33</f>
        <v>0</v>
      </c>
      <c r="G45" s="22">
        <f t="shared" ca="1" si="5"/>
        <v>0</v>
      </c>
      <c r="H45" s="22" t="e">
        <f t="shared" ca="1" si="0"/>
        <v>#DIV/0!</v>
      </c>
      <c r="I45" s="152">
        <f ca="1">'Fuel and Mileage Auto Entries'!M33</f>
        <v>0</v>
      </c>
      <c r="J45" s="22" t="e">
        <f t="shared" ca="1" si="2"/>
        <v>#DIV/0!</v>
      </c>
      <c r="K45" s="144">
        <v>0.10299999999999999</v>
      </c>
      <c r="L45" s="36" t="e">
        <f t="shared" ca="1" si="3"/>
        <v>#DIV/0!</v>
      </c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1:27" ht="15.45" customHeight="1" x14ac:dyDescent="0.3">
      <c r="A46" s="15"/>
      <c r="B46" s="15"/>
      <c r="C46" s="16"/>
      <c r="D46" s="139" t="s">
        <v>296</v>
      </c>
      <c r="E46" s="140" t="s">
        <v>32</v>
      </c>
      <c r="F46" s="148">
        <f ca="1">'Fuel and Mileage Auto Entries'!K34</f>
        <v>0</v>
      </c>
      <c r="G46" s="149">
        <f t="shared" ca="1" si="5"/>
        <v>0</v>
      </c>
      <c r="H46" s="149" t="e">
        <f t="shared" ca="1" si="0"/>
        <v>#DIV/0!</v>
      </c>
      <c r="I46" s="150">
        <f ca="1">'Fuel and Mileage Auto Entries'!M34</f>
        <v>0</v>
      </c>
      <c r="J46" s="149" t="e">
        <f t="shared" ca="1" si="2"/>
        <v>#DIV/0!</v>
      </c>
      <c r="K46" s="143">
        <v>9.5500000000000002E-2</v>
      </c>
      <c r="L46" s="140" t="e">
        <f t="shared" ca="1" si="3"/>
        <v>#DIV/0!</v>
      </c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1:27" ht="15.45" customHeight="1" x14ac:dyDescent="0.3">
      <c r="A47" s="15"/>
      <c r="B47" s="15"/>
      <c r="C47" s="16"/>
      <c r="D47" s="36" t="s">
        <v>117</v>
      </c>
      <c r="E47" s="36" t="s">
        <v>55</v>
      </c>
      <c r="F47" s="151">
        <f ca="1">'Fuel and Mileage Auto Entries'!K35</f>
        <v>0</v>
      </c>
      <c r="G47" s="22">
        <f t="shared" ca="1" si="5"/>
        <v>0</v>
      </c>
      <c r="H47" s="22" t="e">
        <f t="shared" ca="1" si="0"/>
        <v>#DIV/0!</v>
      </c>
      <c r="I47" s="152">
        <f ca="1">'Fuel and Mileage Auto Entries'!M35</f>
        <v>0</v>
      </c>
      <c r="J47" s="22" t="e">
        <f t="shared" ca="1" si="2"/>
        <v>#DIV/0!</v>
      </c>
      <c r="K47" s="144">
        <v>0.1545</v>
      </c>
      <c r="L47" s="36" t="e">
        <f t="shared" ca="1" si="3"/>
        <v>#DIV/0!</v>
      </c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1:27" ht="15.45" customHeight="1" x14ac:dyDescent="0.3">
      <c r="A48" s="15"/>
      <c r="B48" s="15"/>
      <c r="C48" s="16"/>
      <c r="D48" s="139" t="s">
        <v>122</v>
      </c>
      <c r="E48" s="140" t="s">
        <v>33</v>
      </c>
      <c r="F48" s="148">
        <f ca="1">'Fuel and Mileage Auto Entries'!K36</f>
        <v>0</v>
      </c>
      <c r="G48" s="149">
        <f t="shared" ca="1" si="5"/>
        <v>0</v>
      </c>
      <c r="H48" s="149" t="e">
        <f t="shared" ca="1" si="0"/>
        <v>#DIV/0!</v>
      </c>
      <c r="I48" s="150">
        <f ca="1">'Fuel and Mileage Auto Entries'!M36</f>
        <v>0</v>
      </c>
      <c r="J48" s="149" t="e">
        <f t="shared" ca="1" si="2"/>
        <v>#DIV/0!</v>
      </c>
      <c r="K48" s="143">
        <v>7.8600000000000003E-2</v>
      </c>
      <c r="L48" s="140" t="e">
        <f t="shared" ca="1" si="3"/>
        <v>#DIV/0!</v>
      </c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1:27" ht="15.45" customHeight="1" x14ac:dyDescent="0.3">
      <c r="A49" s="15"/>
      <c r="B49" s="15"/>
      <c r="C49" s="16"/>
      <c r="D49" s="36" t="s">
        <v>123</v>
      </c>
      <c r="E49" s="36" t="s">
        <v>34</v>
      </c>
      <c r="F49" s="151">
        <f ca="1">'Fuel and Mileage Auto Entries'!K37</f>
        <v>0</v>
      </c>
      <c r="G49" s="22">
        <f t="shared" ca="1" si="5"/>
        <v>0</v>
      </c>
      <c r="H49" s="22" t="e">
        <f t="shared" ca="1" si="0"/>
        <v>#DIV/0!</v>
      </c>
      <c r="I49" s="152">
        <f ca="1">'Fuel and Mileage Auto Entries'!M37</f>
        <v>0</v>
      </c>
      <c r="J49" s="22" t="e">
        <f t="shared" ca="1" si="2"/>
        <v>#DIV/0!</v>
      </c>
      <c r="K49" s="144">
        <v>0.17449999999999999</v>
      </c>
      <c r="L49" s="36" t="e">
        <f t="shared" ca="1" si="3"/>
        <v>#DIV/0!</v>
      </c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1:27" ht="15.45" customHeight="1" x14ac:dyDescent="0.3">
      <c r="A50" s="15"/>
      <c r="B50" s="15"/>
      <c r="C50" s="16"/>
      <c r="D50" s="139" t="s">
        <v>124</v>
      </c>
      <c r="E50" s="140" t="s">
        <v>36</v>
      </c>
      <c r="F50" s="148">
        <f ca="1">'Fuel and Mileage Auto Entries'!K38</f>
        <v>0</v>
      </c>
      <c r="G50" s="149">
        <f t="shared" ca="1" si="5"/>
        <v>0</v>
      </c>
      <c r="H50" s="149" t="e">
        <f t="shared" ca="1" si="0"/>
        <v>#DIV/0!</v>
      </c>
      <c r="I50" s="150">
        <f ca="1">'Fuel and Mileage Auto Entries'!M38</f>
        <v>0</v>
      </c>
      <c r="J50" s="149" t="e">
        <f t="shared" ca="1" si="2"/>
        <v>#DIV/0!</v>
      </c>
      <c r="K50" s="143">
        <v>7.4300000000000005E-2</v>
      </c>
      <c r="L50" s="140" t="e">
        <f t="shared" ca="1" si="3"/>
        <v>#DIV/0!</v>
      </c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1:27" ht="15.45" customHeight="1" x14ac:dyDescent="0.3">
      <c r="A51" s="15"/>
      <c r="B51" s="15"/>
      <c r="C51" s="16"/>
      <c r="D51" s="36" t="s">
        <v>127</v>
      </c>
      <c r="E51" s="36" t="s">
        <v>35</v>
      </c>
      <c r="F51" s="151">
        <f ca="1">'Fuel and Mileage Auto Entries'!K39</f>
        <v>0</v>
      </c>
      <c r="G51" s="22">
        <f t="shared" ca="1" si="5"/>
        <v>0</v>
      </c>
      <c r="H51" s="22" t="e">
        <f t="shared" ca="1" si="0"/>
        <v>#DIV/0!</v>
      </c>
      <c r="I51" s="152">
        <f ca="1">'Fuel and Mileage Auto Entries'!M39</f>
        <v>0</v>
      </c>
      <c r="J51" s="22" t="e">
        <f t="shared" ca="1" si="2"/>
        <v>#DIV/0!</v>
      </c>
      <c r="K51" s="144">
        <v>0.1399</v>
      </c>
      <c r="L51" s="36" t="e">
        <f t="shared" ca="1" si="3"/>
        <v>#DIV/0!</v>
      </c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1:27" ht="15.45" customHeight="1" x14ac:dyDescent="0.3">
      <c r="A52" s="15"/>
      <c r="B52" s="15"/>
      <c r="C52" s="16"/>
      <c r="D52" s="139" t="s">
        <v>121</v>
      </c>
      <c r="E52" s="140" t="s">
        <v>56</v>
      </c>
      <c r="F52" s="148">
        <f ca="1">'Fuel and Mileage Auto Entries'!K40</f>
        <v>0</v>
      </c>
      <c r="G52" s="149">
        <f t="shared" ca="1" si="5"/>
        <v>0</v>
      </c>
      <c r="H52" s="149" t="e">
        <f t="shared" ca="1" si="0"/>
        <v>#DIV/0!</v>
      </c>
      <c r="I52" s="150">
        <f ca="1">'Fuel and Mileage Auto Entries'!M40</f>
        <v>0</v>
      </c>
      <c r="J52" s="149" t="e">
        <f t="shared" ca="1" si="2"/>
        <v>#DIV/0!</v>
      </c>
      <c r="K52" s="143">
        <v>9.5000000000000001E-2</v>
      </c>
      <c r="L52" s="140" t="e">
        <f t="shared" ca="1" si="3"/>
        <v>#DIV/0!</v>
      </c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1:27" ht="15.45" customHeight="1" x14ac:dyDescent="0.3">
      <c r="A53" s="15"/>
      <c r="B53" s="15"/>
      <c r="C53" s="16"/>
      <c r="D53" s="36" t="s">
        <v>118</v>
      </c>
      <c r="E53" s="36" t="s">
        <v>37</v>
      </c>
      <c r="F53" s="151">
        <f ca="1">'Fuel and Mileage Auto Entries'!K41</f>
        <v>0</v>
      </c>
      <c r="G53" s="22">
        <f t="shared" ca="1" si="5"/>
        <v>0</v>
      </c>
      <c r="H53" s="22" t="e">
        <f t="shared" ca="1" si="0"/>
        <v>#DIV/0!</v>
      </c>
      <c r="I53" s="152">
        <f ca="1">'Fuel and Mileage Auto Entries'!M41</f>
        <v>0</v>
      </c>
      <c r="J53" s="22" t="e">
        <f t="shared" ca="1" si="2"/>
        <v>#DIV/0!</v>
      </c>
      <c r="K53" s="144">
        <v>0.1429</v>
      </c>
      <c r="L53" s="36" t="e">
        <f t="shared" ca="1" si="3"/>
        <v>#DIV/0!</v>
      </c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1:27" ht="15.45" customHeight="1" x14ac:dyDescent="0.3">
      <c r="A54" s="15"/>
      <c r="B54" s="15"/>
      <c r="C54" s="16"/>
      <c r="D54" s="139" t="s">
        <v>119</v>
      </c>
      <c r="E54" s="140" t="s">
        <v>38</v>
      </c>
      <c r="F54" s="148">
        <f ca="1">'Fuel and Mileage Auto Entries'!K42</f>
        <v>0</v>
      </c>
      <c r="G54" s="149">
        <f t="shared" ca="1" si="5"/>
        <v>0</v>
      </c>
      <c r="H54" s="149" t="e">
        <f t="shared" ca="1" si="0"/>
        <v>#DIV/0!</v>
      </c>
      <c r="I54" s="150">
        <f ca="1">'Fuel and Mileage Auto Entries'!M42</f>
        <v>0</v>
      </c>
      <c r="J54" s="149" t="e">
        <f t="shared" ca="1" si="2"/>
        <v>#DIV/0!</v>
      </c>
      <c r="K54" s="143">
        <v>8.14E-2</v>
      </c>
      <c r="L54" s="140" t="e">
        <f t="shared" ca="1" si="3"/>
        <v>#DIV/0!</v>
      </c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1:27" ht="15.45" customHeight="1" x14ac:dyDescent="0.3">
      <c r="A55" s="15"/>
      <c r="B55" s="15"/>
      <c r="C55" s="16"/>
      <c r="D55" s="36" t="s">
        <v>125</v>
      </c>
      <c r="E55" s="36" t="s">
        <v>57</v>
      </c>
      <c r="F55" s="151">
        <f ca="1">'Fuel and Mileage Auto Entries'!K43</f>
        <v>0</v>
      </c>
      <c r="G55" s="22">
        <f t="shared" ca="1" si="5"/>
        <v>0</v>
      </c>
      <c r="H55" s="22" t="e">
        <f t="shared" ca="1" si="0"/>
        <v>#DIV/0!</v>
      </c>
      <c r="I55" s="152">
        <f ca="1">'Fuel and Mileage Auto Entries'!M43</f>
        <v>0</v>
      </c>
      <c r="J55" s="22" t="e">
        <f t="shared" ca="1" si="2"/>
        <v>#DIV/0!</v>
      </c>
      <c r="K55" s="144">
        <v>0.154</v>
      </c>
      <c r="L55" s="36" t="e">
        <f t="shared" ca="1" si="3"/>
        <v>#DIV/0!</v>
      </c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1:27" ht="15.45" customHeight="1" x14ac:dyDescent="0.3">
      <c r="A56" s="15"/>
      <c r="B56" s="15"/>
      <c r="C56" s="16"/>
      <c r="D56" s="139" t="s">
        <v>128</v>
      </c>
      <c r="E56" s="140" t="s">
        <v>39</v>
      </c>
      <c r="F56" s="148">
        <f ca="1">'Fuel and Mileage Auto Entries'!K44</f>
        <v>0</v>
      </c>
      <c r="G56" s="149">
        <f t="shared" ca="1" si="5"/>
        <v>0</v>
      </c>
      <c r="H56" s="149" t="e">
        <f t="shared" ca="1" si="0"/>
        <v>#DIV/0!</v>
      </c>
      <c r="I56" s="150">
        <f ca="1">'Fuel and Mileage Auto Entries'!M44</f>
        <v>0</v>
      </c>
      <c r="J56" s="149" t="e">
        <f t="shared" ca="1" si="2"/>
        <v>#DIV/0!</v>
      </c>
      <c r="K56" s="143">
        <v>0.1663</v>
      </c>
      <c r="L56" s="140" t="e">
        <f t="shared" ca="1" si="3"/>
        <v>#DIV/0!</v>
      </c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1:27" ht="15.45" customHeight="1" x14ac:dyDescent="0.3">
      <c r="A57" s="15"/>
      <c r="B57" s="15"/>
      <c r="C57" s="16"/>
      <c r="D57" s="36" t="s">
        <v>129</v>
      </c>
      <c r="E57" s="36" t="s">
        <v>40</v>
      </c>
      <c r="F57" s="151">
        <f ca="1">'Fuel and Mileage Auto Entries'!K45</f>
        <v>0</v>
      </c>
      <c r="G57" s="22">
        <f t="shared" ca="1" si="5"/>
        <v>0</v>
      </c>
      <c r="H57" s="22" t="e">
        <f t="shared" ca="1" si="0"/>
        <v>#DIV/0!</v>
      </c>
      <c r="I57" s="152">
        <f ca="1">'Fuel and Mileage Auto Entries'!M45</f>
        <v>0</v>
      </c>
      <c r="J57" s="22" t="e">
        <f t="shared" ca="1" si="2"/>
        <v>#DIV/0!</v>
      </c>
      <c r="K57" s="144">
        <v>6.7199999999999996E-2</v>
      </c>
      <c r="L57" s="36" t="e">
        <f t="shared" ca="1" si="3"/>
        <v>#DIV/0!</v>
      </c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1:27" ht="15.45" customHeight="1" x14ac:dyDescent="0.3">
      <c r="A58" s="15"/>
      <c r="B58" s="15"/>
      <c r="C58" s="16"/>
      <c r="D58" s="139" t="s">
        <v>130</v>
      </c>
      <c r="E58" s="140" t="s">
        <v>58</v>
      </c>
      <c r="F58" s="148">
        <v>0</v>
      </c>
      <c r="G58" s="149">
        <f t="shared" si="5"/>
        <v>0</v>
      </c>
      <c r="H58" s="149" t="e">
        <f t="shared" ca="1" si="0"/>
        <v>#DIV/0!</v>
      </c>
      <c r="I58" s="150">
        <v>0</v>
      </c>
      <c r="J58" s="149" t="e">
        <f t="shared" ca="1" si="2"/>
        <v>#DIV/0!</v>
      </c>
      <c r="K58" s="143">
        <v>0.09</v>
      </c>
      <c r="L58" s="140" t="e">
        <f t="shared" ca="1" si="3"/>
        <v>#DIV/0!</v>
      </c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1:27" ht="15.45" customHeight="1" x14ac:dyDescent="0.3">
      <c r="A59" s="15"/>
      <c r="B59" s="15"/>
      <c r="C59" s="16"/>
      <c r="D59" s="36" t="s">
        <v>131</v>
      </c>
      <c r="E59" s="36" t="s">
        <v>41</v>
      </c>
      <c r="F59" s="151">
        <f ca="1">'Fuel and Mileage Auto Entries'!K47</f>
        <v>0</v>
      </c>
      <c r="G59" s="22">
        <f t="shared" ca="1" si="5"/>
        <v>0</v>
      </c>
      <c r="H59" s="22" t="e">
        <f t="shared" ca="1" si="0"/>
        <v>#DIV/0!</v>
      </c>
      <c r="I59" s="152">
        <f ca="1">'Fuel and Mileage Auto Entries'!M47</f>
        <v>0</v>
      </c>
      <c r="J59" s="22" t="e">
        <f t="shared" ca="1" si="2"/>
        <v>#DIV/0!</v>
      </c>
      <c r="K59" s="144">
        <v>0</v>
      </c>
      <c r="L59" s="36" t="e">
        <f t="shared" ca="1" si="3"/>
        <v>#DIV/0!</v>
      </c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1:27" ht="15.45" customHeight="1" x14ac:dyDescent="0.3">
      <c r="A60" s="15"/>
      <c r="B60" s="15"/>
      <c r="C60" s="16"/>
      <c r="D60" s="139" t="s">
        <v>132</v>
      </c>
      <c r="E60" s="140" t="s">
        <v>42</v>
      </c>
      <c r="F60" s="148">
        <f ca="1">'Fuel and Mileage Auto Entries'!K48</f>
        <v>0</v>
      </c>
      <c r="G60" s="149">
        <f t="shared" ca="1" si="5"/>
        <v>0</v>
      </c>
      <c r="H60" s="149" t="e">
        <f t="shared" ca="1" si="0"/>
        <v>#DIV/0!</v>
      </c>
      <c r="I60" s="150">
        <f ca="1">'Fuel and Mileage Auto Entries'!M48</f>
        <v>0</v>
      </c>
      <c r="J60" s="149" t="e">
        <f t="shared" ca="1" si="2"/>
        <v>#DIV/0!</v>
      </c>
      <c r="K60" s="143">
        <v>0.26219999999999999</v>
      </c>
      <c r="L60" s="140" t="e">
        <f t="shared" ca="1" si="3"/>
        <v>#DIV/0!</v>
      </c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1:27" ht="15.45" customHeight="1" x14ac:dyDescent="0.3">
      <c r="A61" s="15"/>
      <c r="B61" s="15"/>
      <c r="C61" s="16"/>
      <c r="D61" s="36" t="s">
        <v>133</v>
      </c>
      <c r="E61" s="36" t="s">
        <v>59</v>
      </c>
      <c r="F61" s="151">
        <f ca="1">'Fuel and Mileage Auto Entries'!K49</f>
        <v>0</v>
      </c>
      <c r="G61" s="22">
        <f t="shared" ca="1" si="5"/>
        <v>0</v>
      </c>
      <c r="H61" s="22" t="e">
        <f t="shared" ca="1" si="0"/>
        <v>#DIV/0!</v>
      </c>
      <c r="I61" s="152">
        <f ca="1">'Fuel and Mileage Auto Entries'!M49</f>
        <v>0</v>
      </c>
      <c r="J61" s="22" t="e">
        <f t="shared" ca="1" si="2"/>
        <v>#DIV/0!</v>
      </c>
      <c r="K61" s="144">
        <v>0.14149999999999999</v>
      </c>
      <c r="L61" s="36" t="e">
        <f t="shared" ca="1" si="3"/>
        <v>#DIV/0!</v>
      </c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1:27" ht="15.45" customHeight="1" x14ac:dyDescent="0.3">
      <c r="A62" s="15"/>
      <c r="B62" s="15"/>
      <c r="C62" s="16"/>
      <c r="D62" s="139" t="s">
        <v>134</v>
      </c>
      <c r="E62" s="140" t="s">
        <v>60</v>
      </c>
      <c r="F62" s="148">
        <f ca="1">'Fuel and Mileage Auto Entries'!K50</f>
        <v>0</v>
      </c>
      <c r="G62" s="149">
        <f t="shared" ca="1" si="5"/>
        <v>0</v>
      </c>
      <c r="H62" s="149" t="e">
        <f t="shared" ca="1" si="0"/>
        <v>#DIV/0!</v>
      </c>
      <c r="I62" s="150">
        <f ca="1">'Fuel and Mileage Auto Entries'!M50</f>
        <v>0</v>
      </c>
      <c r="J62" s="149" t="e">
        <f t="shared" ca="1" si="2"/>
        <v>#DIV/0!</v>
      </c>
      <c r="K62" s="143">
        <v>0.20200000000000001</v>
      </c>
      <c r="L62" s="140" t="e">
        <f t="shared" ca="1" si="3"/>
        <v>#DIV/0!</v>
      </c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1:27" ht="15.45" customHeight="1" x14ac:dyDescent="0.3">
      <c r="A63" s="15"/>
      <c r="B63" s="15"/>
      <c r="C63" s="16"/>
      <c r="D63" s="36" t="s">
        <v>135</v>
      </c>
      <c r="E63" s="36" t="s">
        <v>43</v>
      </c>
      <c r="F63" s="151">
        <f ca="1">'Fuel and Mileage Auto Entries'!K51</f>
        <v>0</v>
      </c>
      <c r="G63" s="22">
        <f t="shared" ca="1" si="5"/>
        <v>0</v>
      </c>
      <c r="H63" s="22" t="e">
        <f t="shared" ca="1" si="0"/>
        <v>#DIV/0!</v>
      </c>
      <c r="I63" s="152">
        <f ca="1">'Fuel and Mileage Auto Entries'!M51</f>
        <v>0</v>
      </c>
      <c r="J63" s="22" t="e">
        <f t="shared" ca="1" si="2"/>
        <v>#DIV/0!</v>
      </c>
      <c r="K63" s="144">
        <v>0.13100000000000001</v>
      </c>
      <c r="L63" s="36" t="e">
        <f t="shared" ca="1" si="3"/>
        <v>#DIV/0!</v>
      </c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1:27" ht="15.45" customHeight="1" x14ac:dyDescent="0.3">
      <c r="A64" s="15"/>
      <c r="B64" s="15"/>
      <c r="C64" s="16"/>
      <c r="D64" s="139" t="s">
        <v>138</v>
      </c>
      <c r="E64" s="140" t="s">
        <v>61</v>
      </c>
      <c r="F64" s="148">
        <f ca="1">'Fuel and Mileage Auto Entries'!K52</f>
        <v>0</v>
      </c>
      <c r="G64" s="149">
        <f t="shared" ca="1" si="5"/>
        <v>0</v>
      </c>
      <c r="H64" s="149" t="e">
        <f t="shared" ca="1" si="0"/>
        <v>#DIV/0!</v>
      </c>
      <c r="I64" s="150">
        <f ca="1">'Fuel and Mileage Auto Entries'!M52</f>
        <v>0</v>
      </c>
      <c r="J64" s="149" t="e">
        <f t="shared" ca="1" si="2"/>
        <v>#DIV/0!</v>
      </c>
      <c r="K64" s="143">
        <v>0.15</v>
      </c>
      <c r="L64" s="140" t="e">
        <f t="shared" ca="1" si="3"/>
        <v>#DIV/0!</v>
      </c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1:27" ht="15.45" customHeight="1" x14ac:dyDescent="0.3">
      <c r="A65" s="15"/>
      <c r="B65" s="15"/>
      <c r="C65" s="16"/>
      <c r="D65" s="36" t="s">
        <v>136</v>
      </c>
      <c r="E65" s="36" t="s">
        <v>44</v>
      </c>
      <c r="F65" s="151">
        <f ca="1">'Fuel and Mileage Auto Entries'!K53</f>
        <v>0</v>
      </c>
      <c r="G65" s="22">
        <f t="shared" ca="1" si="5"/>
        <v>0</v>
      </c>
      <c r="H65" s="22" t="e">
        <f t="shared" ca="1" si="0"/>
        <v>#DIV/0!</v>
      </c>
      <c r="I65" s="152">
        <f ca="1">'Fuel and Mileage Auto Entries'!M53</f>
        <v>0</v>
      </c>
      <c r="J65" s="22" t="e">
        <f t="shared" ca="1" si="2"/>
        <v>#DIV/0!</v>
      </c>
      <c r="K65" s="144">
        <v>9.9099999999999994E-2</v>
      </c>
      <c r="L65" s="36" t="e">
        <f t="shared" ca="1" si="3"/>
        <v>#DIV/0!</v>
      </c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1:27" ht="15.45" customHeight="1" x14ac:dyDescent="0.3">
      <c r="A66" s="15"/>
      <c r="B66" s="15"/>
      <c r="C66" s="16"/>
      <c r="D66" s="139" t="s">
        <v>137</v>
      </c>
      <c r="E66" s="140" t="s">
        <v>45</v>
      </c>
      <c r="F66" s="148">
        <f ca="1">'Fuel and Mileage Auto Entries'!K54</f>
        <v>0</v>
      </c>
      <c r="G66" s="149">
        <f t="shared" ca="1" si="5"/>
        <v>0</v>
      </c>
      <c r="H66" s="149" t="e">
        <f t="shared" ca="1" si="0"/>
        <v>#DIV/0!</v>
      </c>
      <c r="I66" s="150">
        <f ca="1">'Fuel and Mileage Auto Entries'!M54</f>
        <v>0</v>
      </c>
      <c r="J66" s="149" t="e">
        <f t="shared" ca="1" si="2"/>
        <v>#DIV/0!</v>
      </c>
      <c r="K66" s="143">
        <v>9.9099999999999994E-2</v>
      </c>
      <c r="L66" s="140" t="e">
        <f t="shared" ca="1" si="3"/>
        <v>#DIV/0!</v>
      </c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1:27" ht="15.45" customHeight="1" x14ac:dyDescent="0.3">
      <c r="A67" s="15"/>
      <c r="B67" s="15"/>
      <c r="C67" s="16"/>
      <c r="D67" s="36" t="s">
        <v>139</v>
      </c>
      <c r="E67" s="36" t="s">
        <v>46</v>
      </c>
      <c r="F67" s="151">
        <f ca="1">'Fuel and Mileage Auto Entries'!K55</f>
        <v>0</v>
      </c>
      <c r="G67" s="22">
        <f t="shared" ca="1" si="5"/>
        <v>0</v>
      </c>
      <c r="H67" s="22" t="e">
        <f t="shared" ca="1" si="0"/>
        <v>#DIV/0!</v>
      </c>
      <c r="I67" s="152">
        <f ca="1">'Fuel and Mileage Auto Entries'!M55</f>
        <v>0</v>
      </c>
      <c r="J67" s="22" t="e">
        <f t="shared" ca="1" si="2"/>
        <v>#DIV/0!</v>
      </c>
      <c r="K67" s="144">
        <v>9.5500000000000002E-2</v>
      </c>
      <c r="L67" s="36" t="e">
        <f t="shared" ca="1" si="3"/>
        <v>#DIV/0!</v>
      </c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1:27" ht="15.45" customHeight="1" x14ac:dyDescent="0.3">
      <c r="A68" s="15"/>
      <c r="B68" s="15"/>
      <c r="C68" s="16"/>
      <c r="D68" s="139" t="s">
        <v>140</v>
      </c>
      <c r="E68" s="140" t="s">
        <v>47</v>
      </c>
      <c r="F68" s="148">
        <f ca="1">'Fuel and Mileage Auto Entries'!K56</f>
        <v>0</v>
      </c>
      <c r="G68" s="149">
        <f t="shared" ca="1" si="5"/>
        <v>0</v>
      </c>
      <c r="H68" s="149" t="e">
        <f t="shared" ca="1" si="0"/>
        <v>#DIV/0!</v>
      </c>
      <c r="I68" s="150">
        <f ca="1">'Fuel and Mileage Auto Entries'!M56</f>
        <v>0</v>
      </c>
      <c r="J68" s="149" t="e">
        <f t="shared" ca="1" si="2"/>
        <v>#DIV/0!</v>
      </c>
      <c r="K68" s="143">
        <v>7.0699999999999999E-2</v>
      </c>
      <c r="L68" s="140" t="e">
        <f t="shared" ca="1" si="3"/>
        <v>#DIV/0!</v>
      </c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1:27" ht="15.45" customHeight="1" x14ac:dyDescent="0.3">
      <c r="A69" s="15"/>
      <c r="B69" s="15"/>
      <c r="C69" s="16"/>
      <c r="D69" s="36" t="s">
        <v>141</v>
      </c>
      <c r="E69" s="36" t="s">
        <v>48</v>
      </c>
      <c r="F69" s="151">
        <f ca="1">'Fuel and Mileage Auto Entries'!K57</f>
        <v>0</v>
      </c>
      <c r="G69" s="22">
        <f t="shared" ca="1" si="5"/>
        <v>0</v>
      </c>
      <c r="H69" s="22" t="e">
        <f t="shared" ca="1" si="0"/>
        <v>#DIV/0!</v>
      </c>
      <c r="I69" s="152">
        <f ca="1">'Fuel and Mileage Auto Entries'!M57</f>
        <v>0</v>
      </c>
      <c r="J69" s="22" t="e">
        <f t="shared" ca="1" si="2"/>
        <v>#DIV/0!</v>
      </c>
      <c r="K69" s="144">
        <v>0.12909999999999999</v>
      </c>
      <c r="L69" s="36" t="e">
        <f t="shared" ca="1" si="3"/>
        <v>#DIV/0!</v>
      </c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1:27" ht="15.45" customHeight="1" x14ac:dyDescent="0.3">
      <c r="A70" s="15"/>
      <c r="B70" s="15"/>
      <c r="C70" s="16"/>
      <c r="D70" s="139" t="s">
        <v>143</v>
      </c>
      <c r="E70" s="140" t="s">
        <v>49</v>
      </c>
      <c r="F70" s="148">
        <f ca="1">'Fuel and Mileage Auto Entries'!K58</f>
        <v>0</v>
      </c>
      <c r="G70" s="149">
        <f t="shared" ca="1" si="5"/>
        <v>0</v>
      </c>
      <c r="H70" s="149" t="e">
        <f t="shared" ca="1" si="0"/>
        <v>#DIV/0!</v>
      </c>
      <c r="I70" s="150">
        <f ca="1">'Fuel and Mileage Auto Entries'!M58</f>
        <v>0</v>
      </c>
      <c r="J70" s="149" t="e">
        <f t="shared" ca="1" si="2"/>
        <v>#DIV/0!</v>
      </c>
      <c r="K70" s="143">
        <v>0.10970000000000001</v>
      </c>
      <c r="L70" s="140" t="e">
        <f t="shared" ca="1" si="3"/>
        <v>#DIV/0!</v>
      </c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1:27" ht="15.45" customHeight="1" x14ac:dyDescent="0.3">
      <c r="A71" s="15"/>
      <c r="B71" s="15"/>
      <c r="C71" s="16"/>
      <c r="D71" s="36" t="s">
        <v>142</v>
      </c>
      <c r="E71" s="36" t="s">
        <v>50</v>
      </c>
      <c r="F71" s="151">
        <f ca="1">'Fuel and Mileage Auto Entries'!K59</f>
        <v>0</v>
      </c>
      <c r="G71" s="22">
        <f t="shared" ca="1" si="4"/>
        <v>0</v>
      </c>
      <c r="H71" s="22" t="e">
        <f t="shared" ca="1" si="0"/>
        <v>#DIV/0!</v>
      </c>
      <c r="I71" s="152">
        <f ca="1">'Fuel and Mileage Auto Entries'!M59</f>
        <v>0</v>
      </c>
      <c r="J71" s="22" t="e">
        <f t="shared" ca="1" si="2"/>
        <v>#DIV/0!</v>
      </c>
      <c r="K71" s="144">
        <v>0.109</v>
      </c>
      <c r="L71" s="36" t="e">
        <f t="shared" ca="1" si="3"/>
        <v>#DIV/0!</v>
      </c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1:27" ht="15.45" customHeight="1" x14ac:dyDescent="0.3">
      <c r="A72" s="15"/>
      <c r="B72" s="15"/>
      <c r="C72" s="16"/>
      <c r="D72" s="139" t="s">
        <v>299</v>
      </c>
      <c r="E72" s="140" t="s">
        <v>219</v>
      </c>
      <c r="F72" s="148">
        <f ca="1">'Fuel and Mileage Auto Entries'!K60</f>
        <v>0</v>
      </c>
      <c r="G72" s="149">
        <f ca="1">F72</f>
        <v>0</v>
      </c>
      <c r="H72" s="149" t="e">
        <f ca="1">H71</f>
        <v>#DIV/0!</v>
      </c>
      <c r="I72" s="150">
        <f ca="1">'Fuel and Mileage Auto Entries'!M60</f>
        <v>0</v>
      </c>
      <c r="J72" s="149" t="e">
        <f t="shared" ca="1" si="2"/>
        <v>#DIV/0!</v>
      </c>
      <c r="K72" s="143">
        <v>4.9500000000000002E-2</v>
      </c>
      <c r="L72" s="140" t="e">
        <f t="shared" ca="1" si="3"/>
        <v>#DIV/0!</v>
      </c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1:27" ht="15.45" customHeight="1" x14ac:dyDescent="0.3">
      <c r="A73" s="15"/>
      <c r="B73" s="15"/>
      <c r="C73" s="16"/>
      <c r="D73" s="36" t="s">
        <v>144</v>
      </c>
      <c r="E73" s="36" t="s">
        <v>51</v>
      </c>
      <c r="F73" s="151">
        <f ca="1">'Fuel and Mileage Auto Entries'!K61</f>
        <v>0</v>
      </c>
      <c r="G73" s="22">
        <f t="shared" ref="G73:G76" ca="1" si="6">F73</f>
        <v>0</v>
      </c>
      <c r="H73" s="22" t="e">
        <f t="shared" ca="1" si="0"/>
        <v>#DIV/0!</v>
      </c>
      <c r="I73" s="152">
        <f ca="1">'Fuel and Mileage Auto Entries'!M61</f>
        <v>0</v>
      </c>
      <c r="J73" s="22" t="e">
        <f t="shared" ca="1" si="2"/>
        <v>#DIV/0!</v>
      </c>
      <c r="K73" s="144">
        <v>0.17469999999999999</v>
      </c>
      <c r="L73" s="36" t="e">
        <f t="shared" ca="1" si="3"/>
        <v>#DIV/0!</v>
      </c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1:27" ht="15.45" customHeight="1" x14ac:dyDescent="0.3">
      <c r="A74" s="15"/>
      <c r="B74" s="15"/>
      <c r="C74" s="16"/>
      <c r="D74" s="139" t="s">
        <v>146</v>
      </c>
      <c r="E74" s="140" t="s">
        <v>53</v>
      </c>
      <c r="F74" s="148">
        <f ca="1">'Fuel and Mileage Auto Entries'!K62</f>
        <v>0</v>
      </c>
      <c r="G74" s="149">
        <f t="shared" ca="1" si="6"/>
        <v>0</v>
      </c>
      <c r="H74" s="149" t="e">
        <f t="shared" ca="1" si="0"/>
        <v>#DIV/0!</v>
      </c>
      <c r="I74" s="150">
        <f ca="1">'Fuel and Mileage Auto Entries'!M62</f>
        <v>0</v>
      </c>
      <c r="J74" s="149" t="e">
        <f t="shared" ca="1" si="2"/>
        <v>#DIV/0!</v>
      </c>
      <c r="K74" s="143">
        <v>0.1263</v>
      </c>
      <c r="L74" s="140" t="e">
        <f t="shared" ca="1" si="3"/>
        <v>#DIV/0!</v>
      </c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1:27" ht="15.45" customHeight="1" x14ac:dyDescent="0.3">
      <c r="A75" s="15"/>
      <c r="B75" s="15"/>
      <c r="C75" s="16"/>
      <c r="D75" s="36" t="s">
        <v>145</v>
      </c>
      <c r="E75" s="36" t="s">
        <v>52</v>
      </c>
      <c r="F75" s="151">
        <f ca="1">'Fuel and Mileage Auto Entries'!K63</f>
        <v>0</v>
      </c>
      <c r="G75" s="22">
        <f t="shared" ca="1" si="6"/>
        <v>0</v>
      </c>
      <c r="H75" s="22" t="e">
        <f t="shared" ca="1" si="0"/>
        <v>#DIV/0!</v>
      </c>
      <c r="I75" s="152">
        <f ca="1">'Fuel and Mileage Auto Entries'!M63</f>
        <v>0</v>
      </c>
      <c r="J75" s="22" t="e">
        <f t="shared" ca="1" si="2"/>
        <v>#DIV/0!</v>
      </c>
      <c r="K75" s="144">
        <v>0.1164</v>
      </c>
      <c r="L75" s="36" t="e">
        <f t="shared" ca="1" si="3"/>
        <v>#DIV/0!</v>
      </c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1:27" ht="15.45" customHeight="1" x14ac:dyDescent="0.3">
      <c r="A76" s="15"/>
      <c r="B76" s="15"/>
      <c r="C76" s="16"/>
      <c r="D76" s="139" t="s">
        <v>147</v>
      </c>
      <c r="E76" s="140" t="s">
        <v>54</v>
      </c>
      <c r="F76" s="148">
        <f ca="1">'Fuel and Mileage Auto Entries'!K64</f>
        <v>0</v>
      </c>
      <c r="G76" s="149">
        <f t="shared" ca="1" si="6"/>
        <v>0</v>
      </c>
      <c r="H76" s="149" t="e">
        <f t="shared" ca="1" si="0"/>
        <v>#DIV/0!</v>
      </c>
      <c r="I76" s="150">
        <f ca="1">'Fuel and Mileage Auto Entries'!M64</f>
        <v>0</v>
      </c>
      <c r="J76" s="149" t="e">
        <f t="shared" ca="1" si="2"/>
        <v>#DIV/0!</v>
      </c>
      <c r="K76" s="143">
        <v>8.4900000000000003E-2</v>
      </c>
      <c r="L76" s="140" t="e">
        <f t="shared" ca="1" si="3"/>
        <v>#DIV/0!</v>
      </c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1:27" ht="15.45" customHeight="1" x14ac:dyDescent="0.3">
      <c r="A77" s="15"/>
      <c r="B77" s="15"/>
      <c r="C77" s="16"/>
      <c r="D77" s="141"/>
      <c r="E77" s="142" t="s">
        <v>86</v>
      </c>
      <c r="F77" s="142">
        <f ca="1">SUM(F16:F76)</f>
        <v>0</v>
      </c>
      <c r="G77" s="142">
        <f ca="1">SUM(G16:G76)</f>
        <v>0</v>
      </c>
      <c r="H77" s="142" t="e">
        <f ca="1">SUM(H16:H76)</f>
        <v>#DIV/0!</v>
      </c>
      <c r="I77" s="142">
        <f ca="1">SUM(I16:I76)</f>
        <v>0</v>
      </c>
      <c r="J77" s="142" t="e">
        <f ca="1">SUM(J16:J76)</f>
        <v>#DIV/0!</v>
      </c>
      <c r="K77" s="142"/>
      <c r="L77" s="142" t="e">
        <f ca="1">SUM(L16:L76)</f>
        <v>#DIV/0!</v>
      </c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1:27" ht="4.5" customHeight="1" x14ac:dyDescent="0.3">
      <c r="A78" s="15"/>
      <c r="B78" s="15"/>
      <c r="C78" s="16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1:27" x14ac:dyDescent="0.3">
      <c r="A79" s="15"/>
      <c r="B79" s="15"/>
      <c r="C79" s="16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1:27" x14ac:dyDescent="0.3">
      <c r="A80" s="15"/>
      <c r="B80" s="15"/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1:27" x14ac:dyDescent="0.3">
      <c r="A81" s="15"/>
      <c r="B81" s="15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  <row r="82" spans="1:27" x14ac:dyDescent="0.3">
      <c r="A82" s="15"/>
      <c r="B82" s="15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</row>
    <row r="83" spans="1:27" x14ac:dyDescent="0.3">
      <c r="A83" s="15"/>
      <c r="B83" s="15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 x14ac:dyDescent="0.3">
      <c r="A84" s="15"/>
      <c r="B84" s="15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 x14ac:dyDescent="0.3">
      <c r="A85" s="15"/>
      <c r="B85" s="15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 x14ac:dyDescent="0.3">
      <c r="A86" s="15"/>
      <c r="B86" s="15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 x14ac:dyDescent="0.3">
      <c r="A87" s="15"/>
      <c r="B87" s="15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 x14ac:dyDescent="0.3">
      <c r="A88" s="15"/>
      <c r="B88" s="15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x14ac:dyDescent="0.3">
      <c r="A89" s="15"/>
      <c r="B89" s="15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 x14ac:dyDescent="0.3">
      <c r="A90" s="15"/>
      <c r="B90" s="15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 x14ac:dyDescent="0.3">
      <c r="A91" s="15"/>
      <c r="B91" s="15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x14ac:dyDescent="0.3">
      <c r="A92" s="15"/>
      <c r="B92" s="15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 x14ac:dyDescent="0.3">
      <c r="A93" s="15"/>
      <c r="B93" s="15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 x14ac:dyDescent="0.3">
      <c r="A94" s="15"/>
      <c r="B94" s="15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x14ac:dyDescent="0.3">
      <c r="A95" s="15"/>
      <c r="B95" s="15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 x14ac:dyDescent="0.3">
      <c r="A96" s="15"/>
      <c r="B96" s="15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 x14ac:dyDescent="0.3">
      <c r="A97" s="15"/>
      <c r="B97" s="15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x14ac:dyDescent="0.3">
      <c r="A98" s="15"/>
      <c r="B98" s="15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 x14ac:dyDescent="0.3">
      <c r="A99" s="15"/>
      <c r="B99" s="15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 x14ac:dyDescent="0.3">
      <c r="A100" s="15"/>
      <c r="B100" s="15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 x14ac:dyDescent="0.3">
      <c r="A101" s="15"/>
      <c r="B101" s="15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 x14ac:dyDescent="0.3"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 x14ac:dyDescent="0.3"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x14ac:dyDescent="0.3"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 x14ac:dyDescent="0.3"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 x14ac:dyDescent="0.3"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</row>
    <row r="107" spans="1:27" x14ac:dyDescent="0.3"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</row>
    <row r="108" spans="1:27" x14ac:dyDescent="0.3"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</row>
    <row r="109" spans="1:27" x14ac:dyDescent="0.3"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</row>
    <row r="110" spans="1:27" x14ac:dyDescent="0.3"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</row>
    <row r="111" spans="1:27" x14ac:dyDescent="0.3"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</row>
    <row r="112" spans="1:27" x14ac:dyDescent="0.3"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</row>
    <row r="113" spans="4:27" x14ac:dyDescent="0.3"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</row>
    <row r="114" spans="4:27" x14ac:dyDescent="0.3"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</row>
    <row r="115" spans="4:27" x14ac:dyDescent="0.3"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</row>
    <row r="116" spans="4:27" x14ac:dyDescent="0.3"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</row>
    <row r="117" spans="4:27" x14ac:dyDescent="0.3"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</row>
    <row r="118" spans="4:27" x14ac:dyDescent="0.3"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</row>
    <row r="119" spans="4:27" x14ac:dyDescent="0.3"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</row>
    <row r="120" spans="4:27" x14ac:dyDescent="0.3"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</row>
    <row r="121" spans="4:27" x14ac:dyDescent="0.3"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</row>
    <row r="122" spans="4:27" x14ac:dyDescent="0.3"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4:27" x14ac:dyDescent="0.3"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4:27" x14ac:dyDescent="0.3"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4:27" x14ac:dyDescent="0.3"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4:27" x14ac:dyDescent="0.3"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4:27" x14ac:dyDescent="0.3"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4:27" x14ac:dyDescent="0.3"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4:27" x14ac:dyDescent="0.3"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4:27" x14ac:dyDescent="0.3"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4:27" x14ac:dyDescent="0.3"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4:27" x14ac:dyDescent="0.3"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</row>
    <row r="133" spans="4:27" x14ac:dyDescent="0.3"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</row>
    <row r="134" spans="4:27" x14ac:dyDescent="0.3"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</row>
    <row r="135" spans="4:27" x14ac:dyDescent="0.3"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</row>
    <row r="136" spans="4:27" x14ac:dyDescent="0.3"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</row>
    <row r="137" spans="4:27" x14ac:dyDescent="0.3"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</row>
    <row r="138" spans="4:27" x14ac:dyDescent="0.3"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</row>
    <row r="139" spans="4:27" x14ac:dyDescent="0.3"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</row>
    <row r="140" spans="4:27" x14ac:dyDescent="0.3"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</row>
    <row r="141" spans="4:27" x14ac:dyDescent="0.3"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</row>
    <row r="142" spans="4:27" x14ac:dyDescent="0.3"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</row>
    <row r="143" spans="4:27" x14ac:dyDescent="0.3"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</row>
    <row r="144" spans="4:27" x14ac:dyDescent="0.3"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</row>
    <row r="145" spans="4:27" x14ac:dyDescent="0.3"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</row>
    <row r="146" spans="4:27" x14ac:dyDescent="0.3"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</row>
    <row r="147" spans="4:27" x14ac:dyDescent="0.3"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</row>
    <row r="148" spans="4:27" x14ac:dyDescent="0.3"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</row>
    <row r="149" spans="4:27" x14ac:dyDescent="0.3"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</row>
    <row r="150" spans="4:27" x14ac:dyDescent="0.3"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</row>
    <row r="151" spans="4:27" x14ac:dyDescent="0.3"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</row>
    <row r="152" spans="4:27" x14ac:dyDescent="0.3"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</row>
    <row r="153" spans="4:27" x14ac:dyDescent="0.3"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</row>
    <row r="154" spans="4:27" x14ac:dyDescent="0.3"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</row>
    <row r="155" spans="4:27" x14ac:dyDescent="0.3"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</row>
    <row r="156" spans="4:27" x14ac:dyDescent="0.3"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</row>
    <row r="157" spans="4:27" x14ac:dyDescent="0.3"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</row>
    <row r="158" spans="4:27" x14ac:dyDescent="0.3"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</row>
    <row r="159" spans="4:27" x14ac:dyDescent="0.3"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</row>
    <row r="160" spans="4:27" x14ac:dyDescent="0.3"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</row>
    <row r="161" spans="4:27" x14ac:dyDescent="0.3"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</row>
    <row r="162" spans="4:27" x14ac:dyDescent="0.3"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</row>
    <row r="163" spans="4:27" x14ac:dyDescent="0.3"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</row>
    <row r="164" spans="4:27" x14ac:dyDescent="0.3"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</row>
    <row r="165" spans="4:27" x14ac:dyDescent="0.3"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</row>
    <row r="166" spans="4:27" x14ac:dyDescent="0.3"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</row>
    <row r="167" spans="4:27" x14ac:dyDescent="0.3"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</row>
    <row r="168" spans="4:27" x14ac:dyDescent="0.3"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</row>
    <row r="169" spans="4:27" x14ac:dyDescent="0.3"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</row>
    <row r="170" spans="4:27" x14ac:dyDescent="0.3"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</row>
    <row r="171" spans="4:27" x14ac:dyDescent="0.3"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</row>
    <row r="172" spans="4:27" x14ac:dyDescent="0.3"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</row>
    <row r="173" spans="4:27" x14ac:dyDescent="0.3"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</row>
    <row r="174" spans="4:27" x14ac:dyDescent="0.3"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</row>
    <row r="175" spans="4:27" x14ac:dyDescent="0.3"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</row>
    <row r="176" spans="4:27" x14ac:dyDescent="0.3"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</row>
    <row r="177" spans="4:27" x14ac:dyDescent="0.3"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</row>
    <row r="178" spans="4:27" x14ac:dyDescent="0.3"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</row>
    <row r="179" spans="4:27" x14ac:dyDescent="0.3"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</row>
    <row r="180" spans="4:27" x14ac:dyDescent="0.3"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</row>
    <row r="181" spans="4:27" x14ac:dyDescent="0.3"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</row>
    <row r="182" spans="4:27" x14ac:dyDescent="0.3"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</row>
    <row r="183" spans="4:27" x14ac:dyDescent="0.3"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</row>
    <row r="184" spans="4:27" x14ac:dyDescent="0.3"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</row>
    <row r="185" spans="4:27" x14ac:dyDescent="0.3"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</row>
    <row r="186" spans="4:27" x14ac:dyDescent="0.3"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</row>
    <row r="187" spans="4:27" x14ac:dyDescent="0.3"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</row>
    <row r="188" spans="4:27" x14ac:dyDescent="0.3"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</row>
    <row r="189" spans="4:27" x14ac:dyDescent="0.3"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</row>
    <row r="190" spans="4:27" x14ac:dyDescent="0.3"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</row>
    <row r="191" spans="4:27" x14ac:dyDescent="0.3"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</row>
    <row r="192" spans="4:27" x14ac:dyDescent="0.3"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</row>
    <row r="193" spans="4:27" x14ac:dyDescent="0.3"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</row>
    <row r="194" spans="4:27" x14ac:dyDescent="0.3"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</row>
    <row r="195" spans="4:27" x14ac:dyDescent="0.3"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</row>
    <row r="196" spans="4:27" x14ac:dyDescent="0.3"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</row>
    <row r="197" spans="4:27" x14ac:dyDescent="0.3"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</row>
    <row r="198" spans="4:27" x14ac:dyDescent="0.3"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</row>
    <row r="199" spans="4:27" x14ac:dyDescent="0.3"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</row>
    <row r="200" spans="4:27" x14ac:dyDescent="0.3"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</row>
    <row r="201" spans="4:27" x14ac:dyDescent="0.3"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</row>
    <row r="202" spans="4:27" x14ac:dyDescent="0.3"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</row>
    <row r="203" spans="4:27" x14ac:dyDescent="0.3"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</row>
    <row r="204" spans="4:27" x14ac:dyDescent="0.3"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</row>
    <row r="205" spans="4:27" x14ac:dyDescent="0.3"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</row>
    <row r="206" spans="4:27" x14ac:dyDescent="0.3"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</row>
    <row r="207" spans="4:27" x14ac:dyDescent="0.3"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</row>
    <row r="208" spans="4:27" x14ac:dyDescent="0.3"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</row>
    <row r="209" spans="4:27" x14ac:dyDescent="0.3"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</row>
    <row r="210" spans="4:27" x14ac:dyDescent="0.3"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</row>
    <row r="211" spans="4:27" x14ac:dyDescent="0.3"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</row>
    <row r="212" spans="4:27" x14ac:dyDescent="0.3"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</row>
    <row r="213" spans="4:27" x14ac:dyDescent="0.3"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</row>
    <row r="214" spans="4:27" x14ac:dyDescent="0.3"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</row>
    <row r="215" spans="4:27" x14ac:dyDescent="0.3"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</row>
    <row r="216" spans="4:27" x14ac:dyDescent="0.3"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</row>
    <row r="217" spans="4:27" x14ac:dyDescent="0.3"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</row>
  </sheetData>
  <sortState xmlns:xlrd2="http://schemas.microsoft.com/office/spreadsheetml/2017/richdata2" ref="E16:E76">
    <sortCondition ref="E16"/>
  </sortState>
  <mergeCells count="15">
    <mergeCell ref="E1:I3"/>
    <mergeCell ref="E9:G9"/>
    <mergeCell ref="H9:J9"/>
    <mergeCell ref="E4:L4"/>
    <mergeCell ref="E7:G7"/>
    <mergeCell ref="H7:J7"/>
    <mergeCell ref="E8:G8"/>
    <mergeCell ref="H8:J8"/>
    <mergeCell ref="K7:L7"/>
    <mergeCell ref="K8:L8"/>
    <mergeCell ref="E15:L15"/>
    <mergeCell ref="K9:L9"/>
    <mergeCell ref="K10:L10"/>
    <mergeCell ref="I5:K5"/>
    <mergeCell ref="F5:H5"/>
  </mergeCells>
  <phoneticPr fontId="30" type="noConversion"/>
  <conditionalFormatting sqref="I16">
    <cfRule type="expression" dxfId="12" priority="9">
      <formula>IF(I16&gt;0,F16&lt;1)</formula>
    </cfRule>
  </conditionalFormatting>
  <conditionalFormatting sqref="I17">
    <cfRule type="expression" dxfId="11" priority="8">
      <formula>IF(I17&gt;0,F17&lt;1)</formula>
    </cfRule>
  </conditionalFormatting>
  <conditionalFormatting sqref="I18">
    <cfRule type="expression" dxfId="10" priority="6">
      <formula>IF(I18&gt;0,F18&lt;1)</formula>
    </cfRule>
  </conditionalFormatting>
  <conditionalFormatting sqref="I19">
    <cfRule type="expression" dxfId="9" priority="5">
      <formula>IF(I19&gt;0,F19&lt;1)</formula>
    </cfRule>
  </conditionalFormatting>
  <conditionalFormatting sqref="I20 I22 I24 I26 I28 I30 I32 I34 I36 I38 I40 I42 I44 I46 I48 I50">
    <cfRule type="expression" dxfId="8" priority="4">
      <formula>IF(I20&gt;0,F20&lt;1)</formula>
    </cfRule>
  </conditionalFormatting>
  <conditionalFormatting sqref="I21 I23 I25 I27 I29 I31 I33 I35 I37 I39 I41 I43 I45 I47 I49">
    <cfRule type="expression" dxfId="7" priority="3">
      <formula>IF(I21&gt;0,F21&lt;1)</formula>
    </cfRule>
  </conditionalFormatting>
  <conditionalFormatting sqref="I52 I54 I56 I58 I60 I62 I64 I66 I68 I70 I72 I74 I76">
    <cfRule type="expression" dxfId="6" priority="2">
      <formula>IF(I52&gt;0,F52&lt;1)</formula>
    </cfRule>
  </conditionalFormatting>
  <conditionalFormatting sqref="I51 I53 I55 I57 I59 I61 I63 I65 I67 I69 I71 I73 I75">
    <cfRule type="expression" dxfId="5" priority="1">
      <formula>IF(I51&gt;0,F51&lt;1)</formula>
    </cfRule>
  </conditionalFormatting>
  <pageMargins left="0.70866141732283472" right="0.70866141732283472" top="0.74803149606299213" bottom="0.74803149606299213" header="0.31496062992125984" footer="0.31496062992125984"/>
  <pageSetup scale="33" fitToHeight="0" orientation="portrait" r:id="rId1"/>
  <headerFooter>
    <oddFooter>&amp;LPrint Time: &amp;D &amp;T&amp;CIFTA Schedule&amp;RPage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Report">
                <anchor moveWithCells="1" sizeWithCells="1">
                  <from>
                    <xdr:col>9</xdr:col>
                    <xdr:colOff>76200</xdr:colOff>
                    <xdr:row>0</xdr:row>
                    <xdr:rowOff>91440</xdr:rowOff>
                  </from>
                  <to>
                    <xdr:col>11</xdr:col>
                    <xdr:colOff>662940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bb">
                <anchor moveWithCells="1" sizeWithCells="1">
                  <from>
                    <xdr:col>4</xdr:col>
                    <xdr:colOff>91440</xdr:colOff>
                    <xdr:row>13</xdr:row>
                    <xdr:rowOff>60960</xdr:rowOff>
                  </from>
                  <to>
                    <xdr:col>4</xdr:col>
                    <xdr:colOff>701040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Tax_rate">
                <anchor moveWithCells="1" sizeWithCells="1">
                  <from>
                    <xdr:col>10</xdr:col>
                    <xdr:colOff>60960</xdr:colOff>
                    <xdr:row>13</xdr:row>
                    <xdr:rowOff>60960</xdr:rowOff>
                  </from>
                  <to>
                    <xdr:col>10</xdr:col>
                    <xdr:colOff>662940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F9"/>
  <sheetViews>
    <sheetView showGridLines="0" tabSelected="1" zoomScale="113" zoomScaleNormal="100" workbookViewId="0">
      <selection activeCell="H4" sqref="H4"/>
    </sheetView>
  </sheetViews>
  <sheetFormatPr defaultColWidth="8.77734375" defaultRowHeight="14.4" x14ac:dyDescent="0.3"/>
  <cols>
    <col min="2" max="2" width="18.6640625" customWidth="1"/>
    <col min="3" max="6" width="10.6640625" customWidth="1"/>
  </cols>
  <sheetData>
    <row r="2" spans="2:6" x14ac:dyDescent="0.3">
      <c r="B2" s="167" t="s">
        <v>274</v>
      </c>
      <c r="C2" s="167"/>
      <c r="D2" s="167"/>
      <c r="E2" s="167"/>
      <c r="F2" s="167"/>
    </row>
    <row r="4" spans="2:6" x14ac:dyDescent="0.3">
      <c r="B4" s="117" t="s">
        <v>271</v>
      </c>
      <c r="C4" s="117" t="s">
        <v>4</v>
      </c>
      <c r="D4" s="117" t="s">
        <v>22</v>
      </c>
      <c r="E4" s="117" t="s">
        <v>58</v>
      </c>
      <c r="F4" s="117" t="s">
        <v>61</v>
      </c>
    </row>
    <row r="5" spans="2:6" x14ac:dyDescent="0.3">
      <c r="B5" s="126" t="s">
        <v>272</v>
      </c>
      <c r="C5" s="153">
        <f ca="1">IFERROR('FINAL RETURN'!J17,0)</f>
        <v>0</v>
      </c>
      <c r="D5" s="153">
        <f ca="1">IFERROR('FINAL RETURN'!J37,0)</f>
        <v>0</v>
      </c>
      <c r="E5" s="153">
        <f ca="1">IFERROR('FINAL RETURN'!J58,0)</f>
        <v>0</v>
      </c>
      <c r="F5" s="153">
        <f ca="1">IFERROR('FINAL RETURN'!J64,0)</f>
        <v>0</v>
      </c>
    </row>
    <row r="6" spans="2:6" x14ac:dyDescent="0.3">
      <c r="B6" s="126" t="s">
        <v>3</v>
      </c>
      <c r="C6" s="126" t="s">
        <v>302</v>
      </c>
      <c r="D6" s="126" t="s">
        <v>302</v>
      </c>
      <c r="E6" s="126" t="s">
        <v>302</v>
      </c>
      <c r="F6" s="126" t="s">
        <v>302</v>
      </c>
    </row>
    <row r="7" spans="2:6" x14ac:dyDescent="0.3">
      <c r="B7" s="127" t="s">
        <v>273</v>
      </c>
      <c r="C7" s="128">
        <f ca="1">C5*C6</f>
        <v>0</v>
      </c>
      <c r="D7" s="128">
        <f ca="1">D5*D6</f>
        <v>0</v>
      </c>
      <c r="E7" s="128">
        <f t="shared" ref="E7:F7" ca="1" si="0">E5*E6</f>
        <v>0</v>
      </c>
      <c r="F7" s="128">
        <f t="shared" ca="1" si="0"/>
        <v>0</v>
      </c>
    </row>
    <row r="8" spans="2:6" x14ac:dyDescent="0.3">
      <c r="B8" s="170" t="s">
        <v>275</v>
      </c>
      <c r="C8" s="170"/>
      <c r="D8" s="170"/>
      <c r="E8" s="168">
        <f ca="1">SUM(C7:F7)</f>
        <v>0</v>
      </c>
      <c r="F8" s="168"/>
    </row>
    <row r="9" spans="2:6" x14ac:dyDescent="0.3">
      <c r="B9" s="129"/>
      <c r="C9" s="129"/>
      <c r="D9" s="129"/>
      <c r="E9" s="169"/>
      <c r="F9" s="169"/>
    </row>
  </sheetData>
  <mergeCells count="3">
    <mergeCell ref="B2:F2"/>
    <mergeCell ref="E8:F9"/>
    <mergeCell ref="B8:D8"/>
  </mergeCells>
  <conditionalFormatting sqref="C7:F7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F6"/>
  <sheetViews>
    <sheetView showGridLines="0" topLeftCell="A4" workbookViewId="0">
      <selection activeCell="C3" sqref="C3:D6"/>
    </sheetView>
  </sheetViews>
  <sheetFormatPr defaultColWidth="8.77734375" defaultRowHeight="14.4" x14ac:dyDescent="0.3"/>
  <cols>
    <col min="2" max="6" width="10.44140625" customWidth="1"/>
  </cols>
  <sheetData>
    <row r="1" spans="2:6" ht="32.25" customHeight="1" thickBot="1" x14ac:dyDescent="0.35">
      <c r="B1" s="171" t="s">
        <v>252</v>
      </c>
      <c r="C1" s="171"/>
      <c r="D1" s="171"/>
      <c r="E1" s="171"/>
      <c r="F1" s="171"/>
    </row>
    <row r="2" spans="2:6" ht="19.95" customHeight="1" thickBot="1" x14ac:dyDescent="0.35">
      <c r="B2" s="130" t="s">
        <v>248</v>
      </c>
      <c r="C2" s="131" t="s">
        <v>215</v>
      </c>
      <c r="D2" s="131" t="s">
        <v>249</v>
      </c>
      <c r="E2" s="131" t="s">
        <v>250</v>
      </c>
      <c r="F2" s="132" t="s">
        <v>251</v>
      </c>
    </row>
    <row r="3" spans="2:6" ht="19.95" customHeight="1" x14ac:dyDescent="0.3">
      <c r="B3" s="133" t="str">
        <f>'FINAL RETURN'!E33</f>
        <v>KY</v>
      </c>
      <c r="C3" s="195">
        <f ca="1">'FINAL RETURN'!F33</f>
        <v>0</v>
      </c>
      <c r="D3" s="195">
        <f ca="1">ROUND(C3/1.60934,0)</f>
        <v>0</v>
      </c>
      <c r="E3" s="134">
        <v>2.8500000000000001E-2</v>
      </c>
      <c r="F3" s="145">
        <f ca="1">D3*E3</f>
        <v>0</v>
      </c>
    </row>
    <row r="4" spans="2:6" ht="19.95" customHeight="1" x14ac:dyDescent="0.3">
      <c r="B4" s="135" t="s">
        <v>36</v>
      </c>
      <c r="C4" s="196">
        <f ca="1">'FINAL RETURN'!F50</f>
        <v>0</v>
      </c>
      <c r="D4" s="196">
        <f t="shared" ref="D4:D6" ca="1" si="0">ROUND(C4/1.60934,0)</f>
        <v>0</v>
      </c>
      <c r="E4" s="136">
        <v>4.3779999999999999E-2</v>
      </c>
      <c r="F4" s="146">
        <f t="shared" ref="F4:F5" ca="1" si="1">D4*E4</f>
        <v>0</v>
      </c>
    </row>
    <row r="5" spans="2:6" ht="19.95" customHeight="1" x14ac:dyDescent="0.3">
      <c r="B5" s="133" t="s">
        <v>35</v>
      </c>
      <c r="C5" s="195">
        <f ca="1">'FINAL RETURN'!F51</f>
        <v>0</v>
      </c>
      <c r="D5" s="195">
        <f t="shared" ca="1" si="0"/>
        <v>0</v>
      </c>
      <c r="E5" s="134">
        <v>4.6199999999999998E-2</v>
      </c>
      <c r="F5" s="146">
        <f t="shared" ca="1" si="1"/>
        <v>0</v>
      </c>
    </row>
    <row r="6" spans="2:6" ht="19.95" customHeight="1" thickBot="1" x14ac:dyDescent="0.35">
      <c r="B6" s="137" t="s">
        <v>41</v>
      </c>
      <c r="C6" s="197">
        <f ca="1">'FINAL RETURN'!F59</f>
        <v>0</v>
      </c>
      <c r="D6" s="197">
        <f t="shared" ca="1" si="0"/>
        <v>0</v>
      </c>
      <c r="E6" s="138">
        <v>0.21</v>
      </c>
      <c r="F6" s="147">
        <f ca="1">D6*E6</f>
        <v>0</v>
      </c>
    </row>
  </sheetData>
  <mergeCells count="1">
    <mergeCell ref="B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2"/>
  <sheetViews>
    <sheetView showGridLines="0" workbookViewId="0">
      <selection activeCell="C15" sqref="C15"/>
    </sheetView>
  </sheetViews>
  <sheetFormatPr defaultColWidth="8.77734375" defaultRowHeight="14.4" x14ac:dyDescent="0.3"/>
  <cols>
    <col min="1" max="1" width="12.6640625" customWidth="1"/>
    <col min="2" max="2" width="18.6640625" customWidth="1"/>
    <col min="3" max="3" width="19.33203125" bestFit="1" customWidth="1"/>
  </cols>
  <sheetData>
    <row r="1" spans="1:3" x14ac:dyDescent="0.3">
      <c r="A1" s="1" t="s">
        <v>88</v>
      </c>
      <c r="B1" s="1" t="s">
        <v>89</v>
      </c>
    </row>
    <row r="2" spans="1:3" x14ac:dyDescent="0.3">
      <c r="A2" s="2" t="s">
        <v>5</v>
      </c>
      <c r="B2" s="11" t="s">
        <v>91</v>
      </c>
      <c r="C2" s="8"/>
    </row>
    <row r="3" spans="1:3" x14ac:dyDescent="0.3">
      <c r="A3" s="2" t="s">
        <v>4</v>
      </c>
      <c r="B3" s="12" t="s">
        <v>90</v>
      </c>
      <c r="C3" s="10"/>
    </row>
    <row r="4" spans="1:3" x14ac:dyDescent="0.3">
      <c r="A4" s="2" t="s">
        <v>7</v>
      </c>
      <c r="B4" s="12" t="s">
        <v>93</v>
      </c>
      <c r="C4" s="10"/>
    </row>
    <row r="5" spans="1:3" x14ac:dyDescent="0.3">
      <c r="A5" s="2" t="s">
        <v>6</v>
      </c>
      <c r="B5" s="12" t="s">
        <v>92</v>
      </c>
      <c r="C5" s="10"/>
    </row>
    <row r="6" spans="1:3" x14ac:dyDescent="0.3">
      <c r="A6" s="2" t="s">
        <v>8</v>
      </c>
      <c r="B6" s="12" t="s">
        <v>94</v>
      </c>
      <c r="C6" s="10"/>
    </row>
    <row r="7" spans="1:3" x14ac:dyDescent="0.3">
      <c r="A7" s="2" t="s">
        <v>9</v>
      </c>
      <c r="B7" s="12" t="s">
        <v>95</v>
      </c>
      <c r="C7" s="10"/>
    </row>
    <row r="8" spans="1:3" x14ac:dyDescent="0.3">
      <c r="A8" s="2" t="s">
        <v>10</v>
      </c>
      <c r="B8" s="12" t="s">
        <v>96</v>
      </c>
      <c r="C8" s="10"/>
    </row>
    <row r="9" spans="1:3" x14ac:dyDescent="0.3">
      <c r="A9" s="2" t="s">
        <v>11</v>
      </c>
      <c r="B9" s="12" t="s">
        <v>97</v>
      </c>
      <c r="C9" s="10"/>
    </row>
    <row r="10" spans="1:3" x14ac:dyDescent="0.3">
      <c r="A10" s="2" t="s">
        <v>12</v>
      </c>
      <c r="B10" s="12" t="s">
        <v>98</v>
      </c>
      <c r="C10" s="10"/>
    </row>
    <row r="11" spans="1:3" x14ac:dyDescent="0.3">
      <c r="A11" s="2" t="s">
        <v>13</v>
      </c>
      <c r="B11" s="12" t="s">
        <v>99</v>
      </c>
      <c r="C11" s="10"/>
    </row>
    <row r="12" spans="1:3" x14ac:dyDescent="0.3">
      <c r="A12" s="2" t="s">
        <v>14</v>
      </c>
      <c r="B12" s="12" t="s">
        <v>100</v>
      </c>
      <c r="C12" s="10"/>
    </row>
    <row r="13" spans="1:3" x14ac:dyDescent="0.3">
      <c r="A13" s="2" t="s">
        <v>16</v>
      </c>
      <c r="B13" s="12" t="s">
        <v>102</v>
      </c>
      <c r="C13" s="8"/>
    </row>
    <row r="14" spans="1:3" x14ac:dyDescent="0.3">
      <c r="A14" s="2" t="s">
        <v>17</v>
      </c>
      <c r="B14" s="12" t="s">
        <v>103</v>
      </c>
      <c r="C14" s="10"/>
    </row>
    <row r="15" spans="1:3" x14ac:dyDescent="0.3">
      <c r="A15" s="2" t="s">
        <v>18</v>
      </c>
      <c r="B15" s="12" t="s">
        <v>104</v>
      </c>
      <c r="C15" s="10"/>
    </row>
    <row r="16" spans="1:3" x14ac:dyDescent="0.3">
      <c r="A16" s="2" t="s">
        <v>18</v>
      </c>
      <c r="B16" s="12" t="s">
        <v>104</v>
      </c>
      <c r="C16" s="10"/>
    </row>
    <row r="17" spans="1:3" x14ac:dyDescent="0.3">
      <c r="A17" s="2" t="s">
        <v>15</v>
      </c>
      <c r="B17" s="12" t="s">
        <v>101</v>
      </c>
      <c r="C17" s="10"/>
    </row>
    <row r="18" spans="1:3" x14ac:dyDescent="0.3">
      <c r="A18" s="2" t="s">
        <v>19</v>
      </c>
      <c r="B18" s="12" t="s">
        <v>105</v>
      </c>
      <c r="C18" s="10"/>
    </row>
    <row r="19" spans="1:3" x14ac:dyDescent="0.3">
      <c r="A19" s="2" t="s">
        <v>20</v>
      </c>
      <c r="B19" s="12" t="s">
        <v>106</v>
      </c>
      <c r="C19" s="10"/>
    </row>
    <row r="20" spans="1:3" x14ac:dyDescent="0.3">
      <c r="A20" s="2" t="s">
        <v>20</v>
      </c>
      <c r="B20" s="12" t="s">
        <v>106</v>
      </c>
      <c r="C20" s="10"/>
    </row>
    <row r="21" spans="1:3" x14ac:dyDescent="0.3">
      <c r="A21" s="2" t="s">
        <v>21</v>
      </c>
      <c r="B21" s="12" t="s">
        <v>107</v>
      </c>
      <c r="C21" s="10"/>
    </row>
    <row r="22" spans="1:3" x14ac:dyDescent="0.3">
      <c r="A22" s="2" t="s">
        <v>23</v>
      </c>
      <c r="B22" s="12" t="s">
        <v>111</v>
      </c>
      <c r="C22" s="10"/>
    </row>
    <row r="23" spans="1:3" x14ac:dyDescent="0.3">
      <c r="A23" s="2" t="s">
        <v>22</v>
      </c>
      <c r="B23" s="12" t="s">
        <v>109</v>
      </c>
      <c r="C23" s="10"/>
    </row>
    <row r="24" spans="1:3" x14ac:dyDescent="0.3">
      <c r="A24" s="2" t="s">
        <v>24</v>
      </c>
      <c r="B24" s="12" t="s">
        <v>110</v>
      </c>
      <c r="C24" s="10"/>
    </row>
    <row r="25" spans="1:3" x14ac:dyDescent="0.3">
      <c r="A25" s="2" t="s">
        <v>25</v>
      </c>
      <c r="B25" s="12" t="s">
        <v>108</v>
      </c>
      <c r="C25" s="8"/>
    </row>
    <row r="26" spans="1:3" x14ac:dyDescent="0.3">
      <c r="A26" s="2" t="s">
        <v>26</v>
      </c>
      <c r="B26" s="12" t="s">
        <v>112</v>
      </c>
      <c r="C26" s="8"/>
    </row>
    <row r="27" spans="1:3" x14ac:dyDescent="0.3">
      <c r="A27" s="2" t="s">
        <v>27</v>
      </c>
      <c r="B27" s="12" t="s">
        <v>113</v>
      </c>
      <c r="C27" s="10"/>
    </row>
    <row r="28" spans="1:3" x14ac:dyDescent="0.3">
      <c r="A28" s="2" t="s">
        <v>28</v>
      </c>
      <c r="B28" s="12" t="s">
        <v>115</v>
      </c>
      <c r="C28" s="10"/>
    </row>
    <row r="29" spans="1:3" x14ac:dyDescent="0.3">
      <c r="A29" s="2" t="s">
        <v>29</v>
      </c>
      <c r="B29" s="12" t="s">
        <v>114</v>
      </c>
      <c r="C29" s="10"/>
    </row>
    <row r="30" spans="1:3" x14ac:dyDescent="0.3">
      <c r="A30" s="2" t="s">
        <v>30</v>
      </c>
      <c r="B30" s="12" t="s">
        <v>116</v>
      </c>
      <c r="C30" s="10"/>
    </row>
    <row r="31" spans="1:3" x14ac:dyDescent="0.3">
      <c r="A31" s="2" t="s">
        <v>31</v>
      </c>
      <c r="B31" s="12" t="s">
        <v>120</v>
      </c>
      <c r="C31" s="10"/>
    </row>
    <row r="32" spans="1:3" x14ac:dyDescent="0.3">
      <c r="A32" s="2" t="s">
        <v>32</v>
      </c>
      <c r="B32" s="12" t="s">
        <v>126</v>
      </c>
      <c r="C32" s="10"/>
    </row>
    <row r="33" spans="1:3" x14ac:dyDescent="0.3">
      <c r="A33" s="2" t="s">
        <v>55</v>
      </c>
      <c r="B33" s="12" t="s">
        <v>117</v>
      </c>
      <c r="C33" s="10"/>
    </row>
    <row r="34" spans="1:3" x14ac:dyDescent="0.3">
      <c r="A34" s="2" t="s">
        <v>33</v>
      </c>
      <c r="B34" s="12" t="s">
        <v>122</v>
      </c>
      <c r="C34" s="10"/>
    </row>
    <row r="35" spans="1:3" x14ac:dyDescent="0.3">
      <c r="A35" s="2" t="s">
        <v>34</v>
      </c>
      <c r="B35" s="12" t="s">
        <v>123</v>
      </c>
      <c r="C35" s="8"/>
    </row>
    <row r="36" spans="1:3" x14ac:dyDescent="0.3">
      <c r="A36" s="2" t="s">
        <v>36</v>
      </c>
      <c r="B36" s="12" t="s">
        <v>124</v>
      </c>
      <c r="C36" s="10"/>
    </row>
    <row r="37" spans="1:3" x14ac:dyDescent="0.3">
      <c r="A37" s="2" t="s">
        <v>35</v>
      </c>
      <c r="B37" s="12" t="s">
        <v>127</v>
      </c>
      <c r="C37" s="8"/>
    </row>
    <row r="38" spans="1:3" x14ac:dyDescent="0.3">
      <c r="A38" s="2" t="s">
        <v>56</v>
      </c>
      <c r="B38" s="12" t="s">
        <v>121</v>
      </c>
      <c r="C38" s="10"/>
    </row>
    <row r="39" spans="1:3" x14ac:dyDescent="0.3">
      <c r="A39" s="2" t="s">
        <v>37</v>
      </c>
      <c r="B39" s="12" t="s">
        <v>118</v>
      </c>
      <c r="C39" s="10"/>
    </row>
    <row r="40" spans="1:3" x14ac:dyDescent="0.3">
      <c r="A40" s="2" t="s">
        <v>38</v>
      </c>
      <c r="B40" s="12" t="s">
        <v>119</v>
      </c>
      <c r="C40" s="10"/>
    </row>
    <row r="41" spans="1:3" x14ac:dyDescent="0.3">
      <c r="A41" s="2" t="s">
        <v>57</v>
      </c>
      <c r="B41" s="12" t="s">
        <v>125</v>
      </c>
      <c r="C41" s="10"/>
    </row>
    <row r="42" spans="1:3" x14ac:dyDescent="0.3">
      <c r="A42" s="2" t="s">
        <v>39</v>
      </c>
      <c r="B42" s="12" t="s">
        <v>128</v>
      </c>
      <c r="C42" s="10"/>
    </row>
    <row r="43" spans="1:3" x14ac:dyDescent="0.3">
      <c r="A43" s="2" t="s">
        <v>40</v>
      </c>
      <c r="B43" s="12" t="s">
        <v>129</v>
      </c>
      <c r="C43" s="10"/>
    </row>
    <row r="44" spans="1:3" x14ac:dyDescent="0.3">
      <c r="A44" s="2" t="s">
        <v>58</v>
      </c>
      <c r="B44" s="12" t="s">
        <v>130</v>
      </c>
      <c r="C44" s="10"/>
    </row>
    <row r="45" spans="1:3" x14ac:dyDescent="0.3">
      <c r="A45" s="2" t="s">
        <v>41</v>
      </c>
      <c r="B45" s="12" t="s">
        <v>131</v>
      </c>
      <c r="C45" s="10"/>
    </row>
    <row r="46" spans="1:3" x14ac:dyDescent="0.3">
      <c r="A46" s="2" t="s">
        <v>42</v>
      </c>
      <c r="B46" s="12" t="s">
        <v>132</v>
      </c>
      <c r="C46" s="10"/>
    </row>
    <row r="47" spans="1:3" x14ac:dyDescent="0.3">
      <c r="A47" s="2" t="s">
        <v>59</v>
      </c>
      <c r="B47" s="13" t="s">
        <v>133</v>
      </c>
      <c r="C47" s="10"/>
    </row>
    <row r="48" spans="1:3" x14ac:dyDescent="0.3">
      <c r="A48" s="2" t="s">
        <v>60</v>
      </c>
      <c r="B48" s="12" t="s">
        <v>134</v>
      </c>
      <c r="C48" s="10"/>
    </row>
    <row r="49" spans="1:3" x14ac:dyDescent="0.3">
      <c r="A49" s="2" t="s">
        <v>43</v>
      </c>
      <c r="B49" s="12" t="s">
        <v>135</v>
      </c>
      <c r="C49" s="10"/>
    </row>
    <row r="50" spans="1:3" x14ac:dyDescent="0.3">
      <c r="A50" s="2" t="s">
        <v>61</v>
      </c>
      <c r="B50" s="12" t="s">
        <v>138</v>
      </c>
      <c r="C50" s="10"/>
    </row>
    <row r="51" spans="1:3" x14ac:dyDescent="0.3">
      <c r="A51" s="2" t="s">
        <v>44</v>
      </c>
      <c r="B51" s="12" t="s">
        <v>136</v>
      </c>
      <c r="C51" s="10"/>
    </row>
    <row r="52" spans="1:3" x14ac:dyDescent="0.3">
      <c r="A52" s="2" t="s">
        <v>45</v>
      </c>
      <c r="B52" s="12" t="s">
        <v>137</v>
      </c>
      <c r="C52" s="10"/>
    </row>
    <row r="53" spans="1:3" x14ac:dyDescent="0.3">
      <c r="A53" s="2" t="s">
        <v>46</v>
      </c>
      <c r="B53" s="12" t="s">
        <v>139</v>
      </c>
      <c r="C53" s="10"/>
    </row>
    <row r="54" spans="1:3" x14ac:dyDescent="0.3">
      <c r="A54" s="2" t="s">
        <v>47</v>
      </c>
      <c r="B54" s="12" t="s">
        <v>140</v>
      </c>
      <c r="C54" s="10"/>
    </row>
    <row r="55" spans="1:3" x14ac:dyDescent="0.3">
      <c r="A55" s="2" t="s">
        <v>48</v>
      </c>
      <c r="B55" s="12" t="s">
        <v>141</v>
      </c>
      <c r="C55" s="10"/>
    </row>
    <row r="56" spans="1:3" x14ac:dyDescent="0.3">
      <c r="A56" s="2" t="s">
        <v>49</v>
      </c>
      <c r="B56" s="12" t="s">
        <v>143</v>
      </c>
      <c r="C56" s="10"/>
    </row>
    <row r="57" spans="1:3" x14ac:dyDescent="0.3">
      <c r="A57" s="2" t="s">
        <v>50</v>
      </c>
      <c r="B57" s="12" t="s">
        <v>142</v>
      </c>
      <c r="C57" s="10"/>
    </row>
    <row r="58" spans="1:3" x14ac:dyDescent="0.3">
      <c r="A58" s="2" t="s">
        <v>50</v>
      </c>
      <c r="B58" s="12" t="s">
        <v>142</v>
      </c>
      <c r="C58" s="10"/>
    </row>
    <row r="59" spans="1:3" x14ac:dyDescent="0.3">
      <c r="A59" s="2" t="s">
        <v>51</v>
      </c>
      <c r="B59" s="12" t="s">
        <v>144</v>
      </c>
      <c r="C59" s="8"/>
    </row>
    <row r="60" spans="1:3" x14ac:dyDescent="0.3">
      <c r="A60" s="2" t="s">
        <v>53</v>
      </c>
      <c r="B60" s="12" t="s">
        <v>146</v>
      </c>
      <c r="C60" s="10"/>
    </row>
    <row r="61" spans="1:3" x14ac:dyDescent="0.3">
      <c r="A61" s="2" t="s">
        <v>52</v>
      </c>
      <c r="B61" s="12" t="s">
        <v>145</v>
      </c>
      <c r="C61" s="10"/>
    </row>
    <row r="62" spans="1:3" x14ac:dyDescent="0.3">
      <c r="A62" s="2" t="s">
        <v>54</v>
      </c>
      <c r="B62" s="12" t="s">
        <v>147</v>
      </c>
      <c r="C62" s="10"/>
    </row>
  </sheetData>
  <sheetProtection algorithmName="SHA-512" hashValue="abfLOk5ewekROTMbzOt24WzxSiKmDSKvWBqDQlSI+KLvXvaNJuMYAx8QPIaPJZIIY5NIVc1t2fRQ9zVVWbtrZg==" saltValue="07AlCtblp/CnvmX+8vlS+A==" spinCount="100000" sheet="1" objects="1" scenarios="1"/>
  <sortState xmlns:xlrd2="http://schemas.microsoft.com/office/spreadsheetml/2017/richdata2" ref="A2:B64">
    <sortCondition ref="B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251460</xdr:colOff>
                    <xdr:row>0</xdr:row>
                    <xdr:rowOff>60960</xdr:rowOff>
                  </from>
                  <to>
                    <xdr:col>4</xdr:col>
                    <xdr:colOff>213360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115"/>
  <sheetViews>
    <sheetView showGridLines="0" topLeftCell="A3" workbookViewId="0">
      <selection activeCell="C15" sqref="C15"/>
    </sheetView>
  </sheetViews>
  <sheetFormatPr defaultColWidth="8.77734375" defaultRowHeight="14.4" x14ac:dyDescent="0.3"/>
  <cols>
    <col min="1" max="1" width="18.77734375" customWidth="1"/>
    <col min="2" max="2" width="18.77734375" hidden="1" customWidth="1"/>
    <col min="3" max="3" width="8.33203125" bestFit="1" customWidth="1"/>
    <col min="4" max="4" width="7.109375" customWidth="1"/>
  </cols>
  <sheetData>
    <row r="1" spans="1:9" x14ac:dyDescent="0.3">
      <c r="A1" s="172" t="s">
        <v>247</v>
      </c>
      <c r="B1" s="173"/>
      <c r="C1" s="173"/>
      <c r="D1" s="174"/>
      <c r="E1" s="3"/>
      <c r="F1" s="3"/>
      <c r="G1" s="3"/>
      <c r="H1" s="3"/>
      <c r="I1" s="3"/>
    </row>
    <row r="2" spans="1:9" x14ac:dyDescent="0.3">
      <c r="A2" s="4" t="s">
        <v>210</v>
      </c>
      <c r="B2" s="4" t="s">
        <v>88</v>
      </c>
      <c r="C2" s="5" t="s">
        <v>211</v>
      </c>
      <c r="D2" s="5" t="s">
        <v>3</v>
      </c>
      <c r="E2" s="3"/>
      <c r="F2" s="3"/>
      <c r="G2" s="3"/>
      <c r="H2" s="3"/>
      <c r="I2" s="3"/>
    </row>
    <row r="3" spans="1:9" ht="16.5" customHeight="1" x14ac:dyDescent="0.3">
      <c r="A3" s="4" t="s">
        <v>159</v>
      </c>
      <c r="B3" s="4"/>
      <c r="C3" s="6" t="s">
        <v>149</v>
      </c>
      <c r="D3" s="18">
        <v>0.09</v>
      </c>
      <c r="E3" s="3"/>
      <c r="F3" s="3"/>
      <c r="G3" s="3"/>
      <c r="H3" s="3"/>
      <c r="I3" s="3"/>
    </row>
    <row r="4" spans="1:9" x14ac:dyDescent="0.3">
      <c r="A4" s="6" t="s">
        <v>148</v>
      </c>
      <c r="B4" s="6"/>
      <c r="C4" s="6" t="s">
        <v>149</v>
      </c>
      <c r="D4" s="18">
        <v>0.13</v>
      </c>
      <c r="E4" s="3"/>
      <c r="F4" s="3"/>
      <c r="G4" s="3"/>
      <c r="H4" s="3"/>
      <c r="I4" s="3"/>
    </row>
    <row r="5" spans="1:9" x14ac:dyDescent="0.3">
      <c r="A5" s="6" t="s">
        <v>160</v>
      </c>
      <c r="B5" s="6"/>
      <c r="C5" s="6" t="s">
        <v>149</v>
      </c>
      <c r="D5" s="18">
        <v>9.3600000000000003E-2</v>
      </c>
      <c r="E5" s="3"/>
      <c r="F5" s="3"/>
      <c r="G5" s="3"/>
      <c r="H5" s="3"/>
      <c r="I5" s="3"/>
    </row>
    <row r="6" spans="1:9" x14ac:dyDescent="0.3">
      <c r="A6" s="6" t="s">
        <v>161</v>
      </c>
      <c r="B6" s="6"/>
      <c r="C6" s="6" t="s">
        <v>149</v>
      </c>
      <c r="D6" s="19">
        <v>0.10249999999999999</v>
      </c>
      <c r="E6" s="3"/>
      <c r="F6" s="3"/>
      <c r="G6" s="3"/>
      <c r="H6" s="3"/>
      <c r="I6" s="3"/>
    </row>
    <row r="7" spans="1:9" x14ac:dyDescent="0.3">
      <c r="A7" s="6" t="s">
        <v>150</v>
      </c>
      <c r="B7" s="6"/>
      <c r="C7" s="6" t="s">
        <v>149</v>
      </c>
      <c r="D7" s="18">
        <v>0.25230000000000002</v>
      </c>
      <c r="E7" s="3"/>
      <c r="F7" s="3"/>
      <c r="G7" s="3"/>
      <c r="H7" s="3"/>
      <c r="I7" s="3"/>
    </row>
    <row r="8" spans="1:9" x14ac:dyDescent="0.3">
      <c r="A8" s="6" t="s">
        <v>162</v>
      </c>
      <c r="B8" s="6"/>
      <c r="C8" s="6" t="s">
        <v>149</v>
      </c>
      <c r="D8" s="18">
        <v>0.28599999999999998</v>
      </c>
      <c r="E8" s="3"/>
      <c r="F8" s="3"/>
      <c r="G8" s="3"/>
      <c r="H8" s="3"/>
      <c r="I8" s="3"/>
    </row>
    <row r="9" spans="1:9" x14ac:dyDescent="0.3">
      <c r="A9" s="6" t="s">
        <v>163</v>
      </c>
      <c r="B9" s="6"/>
      <c r="C9" s="6" t="s">
        <v>149</v>
      </c>
      <c r="D9" s="18">
        <v>7.3800000000000004E-2</v>
      </c>
      <c r="E9" s="3"/>
      <c r="F9" s="3"/>
      <c r="G9" s="3"/>
      <c r="H9" s="3"/>
      <c r="I9" s="3"/>
    </row>
    <row r="10" spans="1:9" x14ac:dyDescent="0.3">
      <c r="A10" s="6" t="s">
        <v>164</v>
      </c>
      <c r="B10" s="6"/>
      <c r="C10" s="6" t="s">
        <v>149</v>
      </c>
      <c r="D10" s="18">
        <v>0.16739999999999999</v>
      </c>
      <c r="E10" s="3"/>
      <c r="F10" s="3"/>
      <c r="G10" s="3"/>
      <c r="H10" s="3"/>
      <c r="I10" s="3"/>
    </row>
    <row r="11" spans="1:9" x14ac:dyDescent="0.3">
      <c r="A11" s="6" t="s">
        <v>165</v>
      </c>
      <c r="B11" s="6"/>
      <c r="C11" s="6" t="s">
        <v>149</v>
      </c>
      <c r="D11" s="18">
        <v>7.9100000000000004E-2</v>
      </c>
      <c r="E11" s="3"/>
      <c r="F11" s="3"/>
      <c r="G11" s="3"/>
      <c r="H11" s="3"/>
      <c r="I11" s="3"/>
    </row>
    <row r="12" spans="1:9" x14ac:dyDescent="0.3">
      <c r="A12" s="6" t="s">
        <v>166</v>
      </c>
      <c r="B12" s="6"/>
      <c r="C12" s="6" t="s">
        <v>149</v>
      </c>
      <c r="D12" s="18">
        <v>0.12690000000000001</v>
      </c>
      <c r="E12" s="3"/>
      <c r="F12" s="3"/>
      <c r="G12" s="3"/>
      <c r="H12" s="3"/>
      <c r="I12" s="3"/>
    </row>
    <row r="13" spans="1:9" x14ac:dyDescent="0.3">
      <c r="A13" s="6" t="s">
        <v>167</v>
      </c>
      <c r="B13" s="6"/>
      <c r="C13" s="6" t="s">
        <v>149</v>
      </c>
      <c r="D13" s="18">
        <v>0.11260000000000001</v>
      </c>
      <c r="E13" s="3"/>
      <c r="F13" s="3"/>
      <c r="G13" s="3"/>
      <c r="H13" s="3"/>
      <c r="I13" s="3"/>
    </row>
    <row r="14" spans="1:9" x14ac:dyDescent="0.3">
      <c r="A14" s="4" t="s">
        <v>168</v>
      </c>
      <c r="B14" s="4"/>
      <c r="C14" s="6" t="s">
        <v>149</v>
      </c>
      <c r="D14" s="18">
        <v>0.11509999999999999</v>
      </c>
      <c r="E14" s="3"/>
      <c r="F14" s="3"/>
      <c r="G14" s="3"/>
      <c r="H14" s="3"/>
      <c r="I14" s="3"/>
    </row>
    <row r="15" spans="1:9" x14ac:dyDescent="0.3">
      <c r="A15" s="6" t="s">
        <v>169</v>
      </c>
      <c r="B15" s="6"/>
      <c r="C15" s="6" t="s">
        <v>149</v>
      </c>
      <c r="D15" s="18">
        <v>0.2198</v>
      </c>
      <c r="E15" s="3"/>
      <c r="F15" s="3"/>
      <c r="G15" s="3"/>
      <c r="H15" s="3"/>
      <c r="I15" s="3"/>
    </row>
    <row r="16" spans="1:9" x14ac:dyDescent="0.3">
      <c r="A16" s="6" t="s">
        <v>170</v>
      </c>
      <c r="B16" s="6"/>
      <c r="C16" s="6" t="s">
        <v>149</v>
      </c>
      <c r="D16" s="18">
        <v>0.18340000000000001</v>
      </c>
      <c r="E16" s="3"/>
      <c r="F16" s="3"/>
      <c r="G16" s="3"/>
      <c r="H16" s="3"/>
      <c r="I16" s="3"/>
    </row>
    <row r="17" spans="1:9" x14ac:dyDescent="0.3">
      <c r="A17" s="6" t="s">
        <v>171</v>
      </c>
      <c r="B17" s="6"/>
      <c r="C17" s="6" t="s">
        <v>149</v>
      </c>
      <c r="D17" s="18">
        <v>0</v>
      </c>
      <c r="E17" s="3"/>
      <c r="F17" s="3"/>
      <c r="G17" s="3"/>
      <c r="H17" s="3"/>
      <c r="I17" s="3"/>
    </row>
    <row r="18" spans="1:9" x14ac:dyDescent="0.3">
      <c r="A18" s="6" t="s">
        <v>172</v>
      </c>
      <c r="B18" s="6"/>
      <c r="C18" s="6" t="s">
        <v>149</v>
      </c>
      <c r="D18" s="18">
        <v>0.11700000000000001</v>
      </c>
      <c r="E18" s="3"/>
      <c r="F18" s="3"/>
      <c r="G18" s="3"/>
      <c r="H18" s="3"/>
      <c r="I18" s="3"/>
    </row>
    <row r="19" spans="1:9" x14ac:dyDescent="0.3">
      <c r="A19" s="6" t="s">
        <v>173</v>
      </c>
      <c r="B19" s="6"/>
      <c r="C19" s="6" t="s">
        <v>149</v>
      </c>
      <c r="D19" s="18">
        <v>9.3600000000000003E-2</v>
      </c>
      <c r="E19" s="3"/>
      <c r="F19" s="3"/>
      <c r="G19" s="3"/>
      <c r="H19" s="3"/>
      <c r="I19" s="3"/>
    </row>
    <row r="20" spans="1:9" x14ac:dyDescent="0.3">
      <c r="A20" s="6" t="s">
        <v>174</v>
      </c>
      <c r="B20" s="6"/>
      <c r="C20" s="6" t="s">
        <v>149</v>
      </c>
      <c r="D20" s="18">
        <v>7.7799999999999994E-2</v>
      </c>
      <c r="E20" s="3"/>
      <c r="F20" s="3"/>
      <c r="G20" s="3"/>
      <c r="H20" s="3"/>
      <c r="I20" s="3"/>
    </row>
    <row r="21" spans="1:9" x14ac:dyDescent="0.3">
      <c r="A21" s="6" t="s">
        <v>175</v>
      </c>
      <c r="B21" s="6"/>
      <c r="C21" s="6" t="s">
        <v>149</v>
      </c>
      <c r="D21" s="18">
        <v>3.6600000000000001E-2</v>
      </c>
      <c r="E21" s="3"/>
      <c r="F21" s="3"/>
      <c r="G21" s="3"/>
      <c r="H21" s="3"/>
      <c r="I21" s="3"/>
    </row>
    <row r="22" spans="1:9" x14ac:dyDescent="0.3">
      <c r="A22" s="6" t="s">
        <v>176</v>
      </c>
      <c r="B22" s="6"/>
      <c r="C22" s="6" t="s">
        <v>149</v>
      </c>
      <c r="D22" s="18">
        <v>7.1900000000000006E-2</v>
      </c>
      <c r="E22" s="3"/>
      <c r="F22" s="3"/>
      <c r="G22" s="3"/>
      <c r="H22" s="3"/>
      <c r="I22" s="3"/>
    </row>
    <row r="23" spans="1:9" x14ac:dyDescent="0.3">
      <c r="A23" s="6" t="s">
        <v>177</v>
      </c>
      <c r="B23" s="6"/>
      <c r="C23" s="6" t="s">
        <v>149</v>
      </c>
      <c r="D23" s="18">
        <v>0.11219999999999999</v>
      </c>
      <c r="E23" s="3"/>
      <c r="F23" s="3"/>
      <c r="G23" s="3"/>
      <c r="H23" s="3"/>
      <c r="I23" s="3"/>
    </row>
    <row r="24" spans="1:9" x14ac:dyDescent="0.3">
      <c r="A24" s="6" t="s">
        <v>151</v>
      </c>
      <c r="B24" s="6"/>
      <c r="C24" s="6" t="s">
        <v>149</v>
      </c>
      <c r="D24" s="18">
        <v>0.14000000000000001</v>
      </c>
      <c r="E24" s="3"/>
      <c r="F24" s="3"/>
      <c r="G24" s="3"/>
      <c r="H24" s="3"/>
      <c r="I24" s="3"/>
    </row>
    <row r="25" spans="1:9" x14ac:dyDescent="0.3">
      <c r="A25" s="6" t="s">
        <v>178</v>
      </c>
      <c r="B25" s="6"/>
      <c r="C25" s="6" t="s">
        <v>149</v>
      </c>
      <c r="D25" s="18">
        <v>0.1333</v>
      </c>
      <c r="E25" s="3"/>
      <c r="F25" s="3"/>
      <c r="G25" s="3"/>
      <c r="H25" s="3"/>
      <c r="I25" s="3"/>
    </row>
    <row r="26" spans="1:9" x14ac:dyDescent="0.3">
      <c r="A26" s="4" t="s">
        <v>179</v>
      </c>
      <c r="B26" s="4"/>
      <c r="C26" s="6" t="s">
        <v>149</v>
      </c>
      <c r="D26" s="18">
        <v>8.6300000000000002E-2</v>
      </c>
      <c r="E26" s="3"/>
      <c r="F26" s="3"/>
      <c r="G26" s="3"/>
      <c r="H26" s="3"/>
      <c r="I26" s="3"/>
    </row>
    <row r="27" spans="1:9" x14ac:dyDescent="0.3">
      <c r="A27" s="4" t="s">
        <v>180</v>
      </c>
      <c r="B27" s="4"/>
      <c r="C27" s="6" t="s">
        <v>149</v>
      </c>
      <c r="D27" s="18">
        <v>0.1363</v>
      </c>
      <c r="E27" s="3"/>
      <c r="F27" s="3"/>
      <c r="G27" s="3"/>
      <c r="H27" s="3"/>
      <c r="I27" s="3"/>
    </row>
    <row r="28" spans="1:9" x14ac:dyDescent="0.3">
      <c r="A28" s="6" t="s">
        <v>181</v>
      </c>
      <c r="B28" s="6"/>
      <c r="C28" s="6" t="s">
        <v>149</v>
      </c>
      <c r="D28" s="18">
        <v>0.10249999999999999</v>
      </c>
      <c r="E28" s="3"/>
      <c r="F28" s="3"/>
      <c r="G28" s="3"/>
      <c r="H28" s="3"/>
      <c r="I28" s="3"/>
    </row>
    <row r="29" spans="1:9" x14ac:dyDescent="0.3">
      <c r="A29" s="6" t="s">
        <v>182</v>
      </c>
      <c r="B29" s="6"/>
      <c r="C29" s="6" t="s">
        <v>149</v>
      </c>
      <c r="D29" s="18">
        <v>6.4799999999999996E-2</v>
      </c>
      <c r="E29" s="3"/>
      <c r="F29" s="3"/>
      <c r="G29" s="3"/>
      <c r="H29" s="3"/>
      <c r="I29" s="3"/>
    </row>
    <row r="30" spans="1:9" x14ac:dyDescent="0.3">
      <c r="A30" s="6" t="s">
        <v>183</v>
      </c>
      <c r="B30" s="6"/>
      <c r="C30" s="6" t="s">
        <v>149</v>
      </c>
      <c r="D30" s="18">
        <v>6.1100000000000002E-2</v>
      </c>
      <c r="E30" s="3"/>
      <c r="F30" s="3"/>
      <c r="G30" s="3"/>
      <c r="H30" s="3"/>
      <c r="I30" s="3"/>
    </row>
    <row r="31" spans="1:9" x14ac:dyDescent="0.3">
      <c r="A31" s="6" t="s">
        <v>184</v>
      </c>
      <c r="B31" s="6"/>
      <c r="C31" s="6" t="s">
        <v>149</v>
      </c>
      <c r="D31" s="18">
        <v>0.106</v>
      </c>
      <c r="E31" s="3"/>
      <c r="F31" s="3"/>
      <c r="G31" s="3"/>
      <c r="H31" s="3"/>
      <c r="I31" s="3"/>
    </row>
    <row r="32" spans="1:9" x14ac:dyDescent="0.3">
      <c r="A32" s="6" t="s">
        <v>185</v>
      </c>
      <c r="B32" s="6"/>
      <c r="C32" s="6" t="s">
        <v>149</v>
      </c>
      <c r="D32" s="18">
        <v>0.11940000000000001</v>
      </c>
      <c r="E32" s="3"/>
      <c r="F32" s="3"/>
      <c r="G32" s="3"/>
      <c r="H32" s="3"/>
      <c r="I32" s="3"/>
    </row>
    <row r="33" spans="1:9" x14ac:dyDescent="0.3">
      <c r="A33" s="6" t="s">
        <v>186</v>
      </c>
      <c r="B33" s="6"/>
      <c r="C33" s="6" t="s">
        <v>149</v>
      </c>
      <c r="D33" s="18">
        <v>9.7100000000000006E-2</v>
      </c>
      <c r="E33" s="3"/>
      <c r="F33" s="3"/>
      <c r="G33" s="3"/>
      <c r="H33" s="3"/>
      <c r="I33" s="3"/>
    </row>
    <row r="34" spans="1:9" x14ac:dyDescent="0.3">
      <c r="A34" s="6" t="s">
        <v>152</v>
      </c>
      <c r="B34" s="6"/>
      <c r="C34" s="6" t="s">
        <v>149</v>
      </c>
      <c r="D34" s="18">
        <v>0.23499999999999999</v>
      </c>
      <c r="E34" s="3"/>
      <c r="F34" s="3"/>
      <c r="G34" s="3"/>
      <c r="H34" s="3"/>
      <c r="I34" s="3"/>
    </row>
    <row r="35" spans="1:9" x14ac:dyDescent="0.3">
      <c r="A35" s="6" t="s">
        <v>187</v>
      </c>
      <c r="B35" s="6"/>
      <c r="C35" s="6" t="s">
        <v>149</v>
      </c>
      <c r="D35" s="18">
        <v>7.9899999999999999E-2</v>
      </c>
      <c r="E35" s="3"/>
      <c r="F35" s="3"/>
      <c r="G35" s="3"/>
      <c r="H35" s="3"/>
      <c r="I35" s="3"/>
    </row>
    <row r="36" spans="1:9" x14ac:dyDescent="0.3">
      <c r="A36" s="4" t="s">
        <v>188</v>
      </c>
      <c r="B36" s="4"/>
      <c r="C36" s="6" t="s">
        <v>149</v>
      </c>
      <c r="D36" s="18">
        <v>0.17449999999999999</v>
      </c>
      <c r="E36" s="3"/>
      <c r="F36" s="3"/>
      <c r="G36" s="3"/>
      <c r="H36" s="3"/>
      <c r="I36" s="3"/>
    </row>
    <row r="37" spans="1:9" x14ac:dyDescent="0.3">
      <c r="A37" s="6" t="s">
        <v>189</v>
      </c>
      <c r="B37" s="6"/>
      <c r="C37" s="6" t="s">
        <v>149</v>
      </c>
      <c r="D37" s="18">
        <v>7.5600000000000001E-2</v>
      </c>
      <c r="E37" s="3"/>
      <c r="F37" s="3"/>
      <c r="G37" s="3"/>
      <c r="H37" s="3"/>
      <c r="I37" s="3"/>
    </row>
    <row r="38" spans="1:9" x14ac:dyDescent="0.3">
      <c r="A38" s="4" t="s">
        <v>190</v>
      </c>
      <c r="B38" s="4"/>
      <c r="C38" s="6" t="s">
        <v>149</v>
      </c>
      <c r="D38" s="18">
        <v>0.14119999999999999</v>
      </c>
      <c r="E38" s="3"/>
      <c r="F38" s="3"/>
      <c r="G38" s="3"/>
      <c r="H38" s="3"/>
      <c r="I38" s="3"/>
    </row>
    <row r="39" spans="1:9" x14ac:dyDescent="0.3">
      <c r="A39" s="6" t="s">
        <v>153</v>
      </c>
      <c r="B39" s="6"/>
      <c r="C39" s="6" t="s">
        <v>149</v>
      </c>
      <c r="D39" s="18">
        <v>0.21870000000000001</v>
      </c>
      <c r="E39" s="3"/>
      <c r="F39" s="3"/>
      <c r="G39" s="3"/>
      <c r="H39" s="3"/>
      <c r="I39" s="3"/>
    </row>
    <row r="40" spans="1:9" x14ac:dyDescent="0.3">
      <c r="A40" s="6" t="s">
        <v>191</v>
      </c>
      <c r="B40" s="6"/>
      <c r="C40" s="6" t="s">
        <v>149</v>
      </c>
      <c r="D40" s="18">
        <v>0.12989999999999999</v>
      </c>
      <c r="E40" s="3"/>
      <c r="F40" s="3"/>
      <c r="G40" s="3"/>
      <c r="H40" s="3"/>
      <c r="I40" s="3"/>
    </row>
    <row r="41" spans="1:9" x14ac:dyDescent="0.3">
      <c r="A41" s="6" t="s">
        <v>192</v>
      </c>
      <c r="B41" s="6"/>
      <c r="C41" s="6" t="s">
        <v>149</v>
      </c>
      <c r="D41" s="18">
        <v>8.2799999999999999E-2</v>
      </c>
      <c r="E41" s="3"/>
      <c r="F41" s="3"/>
      <c r="G41" s="3"/>
      <c r="H41" s="3"/>
      <c r="I41" s="3"/>
    </row>
    <row r="42" spans="1:9" x14ac:dyDescent="0.3">
      <c r="A42" s="6" t="s">
        <v>154</v>
      </c>
      <c r="B42" s="6"/>
      <c r="C42" s="6" t="s">
        <v>149</v>
      </c>
      <c r="D42" s="18">
        <v>0.154</v>
      </c>
      <c r="E42" s="3"/>
      <c r="F42" s="3"/>
      <c r="G42" s="3"/>
      <c r="H42" s="3"/>
      <c r="I42" s="3"/>
    </row>
    <row r="43" spans="1:9" x14ac:dyDescent="0.3">
      <c r="A43" s="6" t="s">
        <v>193</v>
      </c>
      <c r="B43" s="6"/>
      <c r="C43" s="6" t="s">
        <v>149</v>
      </c>
      <c r="D43" s="18">
        <v>0.1691</v>
      </c>
      <c r="E43" s="3"/>
      <c r="F43" s="3"/>
      <c r="G43" s="3"/>
      <c r="H43" s="3"/>
      <c r="I43" s="3"/>
    </row>
    <row r="44" spans="1:9" x14ac:dyDescent="0.3">
      <c r="A44" s="6" t="s">
        <v>194</v>
      </c>
      <c r="B44" s="6"/>
      <c r="C44" s="6" t="s">
        <v>149</v>
      </c>
      <c r="D44" s="18">
        <v>6.8400000000000002E-2</v>
      </c>
      <c r="E44" s="3"/>
      <c r="F44" s="3"/>
      <c r="G44" s="3"/>
      <c r="H44" s="3"/>
      <c r="I44" s="3"/>
    </row>
    <row r="45" spans="1:9" x14ac:dyDescent="0.3">
      <c r="A45" s="6" t="s">
        <v>155</v>
      </c>
      <c r="B45" s="6"/>
      <c r="C45" s="6" t="s">
        <v>149</v>
      </c>
      <c r="D45" s="18">
        <v>0.14299999999999999</v>
      </c>
      <c r="E45" s="3"/>
      <c r="F45" s="3"/>
      <c r="G45" s="3"/>
      <c r="H45" s="3"/>
      <c r="I45" s="3"/>
    </row>
    <row r="46" spans="1:9" x14ac:dyDescent="0.3">
      <c r="A46" s="6" t="s">
        <v>195</v>
      </c>
      <c r="B46" s="6"/>
      <c r="C46" s="6" t="s">
        <v>149</v>
      </c>
      <c r="D46" s="18">
        <v>0</v>
      </c>
      <c r="E46" s="3"/>
      <c r="F46" s="3"/>
      <c r="G46" s="3"/>
      <c r="H46" s="3"/>
      <c r="I46" s="3"/>
    </row>
    <row r="47" spans="1:9" x14ac:dyDescent="0.3">
      <c r="A47" s="6" t="s">
        <v>196</v>
      </c>
      <c r="B47" s="6"/>
      <c r="C47" s="6" t="s">
        <v>149</v>
      </c>
      <c r="D47" s="19">
        <v>0.2666</v>
      </c>
      <c r="E47" s="3"/>
      <c r="F47" s="3"/>
      <c r="G47" s="3"/>
      <c r="H47" s="3"/>
      <c r="I47" s="3"/>
    </row>
    <row r="48" spans="1:9" x14ac:dyDescent="0.3">
      <c r="A48" s="6" t="s">
        <v>156</v>
      </c>
      <c r="B48" s="6"/>
      <c r="C48" s="6" t="s">
        <v>149</v>
      </c>
      <c r="D48" s="18">
        <v>0.222</v>
      </c>
      <c r="E48" s="3"/>
      <c r="F48" s="3"/>
      <c r="G48" s="3"/>
      <c r="H48" s="3"/>
      <c r="I48" s="3"/>
    </row>
    <row r="49" spans="1:9" x14ac:dyDescent="0.3">
      <c r="A49" s="6" t="s">
        <v>157</v>
      </c>
      <c r="B49" s="6"/>
      <c r="C49" s="6" t="s">
        <v>149</v>
      </c>
      <c r="D49" s="18">
        <v>0.20200000000000001</v>
      </c>
      <c r="E49" s="3"/>
      <c r="F49" s="3"/>
      <c r="G49" s="3"/>
      <c r="H49" s="3"/>
      <c r="I49" s="3"/>
    </row>
    <row r="50" spans="1:9" x14ac:dyDescent="0.3">
      <c r="A50" s="6" t="s">
        <v>197</v>
      </c>
      <c r="B50" s="6"/>
      <c r="C50" s="6" t="s">
        <v>149</v>
      </c>
      <c r="D50" s="18">
        <v>0.12230000000000001</v>
      </c>
      <c r="E50" s="3"/>
      <c r="F50" s="3"/>
      <c r="G50" s="3"/>
      <c r="H50" s="3"/>
      <c r="I50" s="3"/>
    </row>
    <row r="51" spans="1:9" x14ac:dyDescent="0.3">
      <c r="A51" s="6" t="s">
        <v>158</v>
      </c>
      <c r="B51" s="6"/>
      <c r="C51" s="6" t="s">
        <v>149</v>
      </c>
      <c r="D51" s="18">
        <v>0.15</v>
      </c>
      <c r="E51" s="3"/>
      <c r="F51" s="3"/>
      <c r="G51" s="3"/>
      <c r="H51" s="3"/>
      <c r="I51" s="3"/>
    </row>
    <row r="52" spans="1:9" x14ac:dyDescent="0.3">
      <c r="A52" s="6" t="s">
        <v>198</v>
      </c>
      <c r="B52" s="6"/>
      <c r="C52" s="6" t="s">
        <v>149</v>
      </c>
      <c r="D52" s="18">
        <v>8.6300000000000002E-2</v>
      </c>
      <c r="E52" s="3"/>
      <c r="F52" s="3"/>
      <c r="G52" s="3"/>
      <c r="H52" s="3"/>
      <c r="I52" s="3"/>
    </row>
    <row r="53" spans="1:9" x14ac:dyDescent="0.3">
      <c r="A53" s="6" t="s">
        <v>199</v>
      </c>
      <c r="B53" s="6"/>
      <c r="C53" s="6" t="s">
        <v>149</v>
      </c>
      <c r="D53" s="18">
        <v>0.1008</v>
      </c>
      <c r="E53" s="3"/>
      <c r="F53" s="3"/>
      <c r="G53" s="3"/>
      <c r="H53" s="3"/>
      <c r="I53" s="3"/>
    </row>
    <row r="54" spans="1:9" x14ac:dyDescent="0.3">
      <c r="A54" s="6" t="s">
        <v>200</v>
      </c>
      <c r="B54" s="6"/>
      <c r="C54" s="6" t="s">
        <v>149</v>
      </c>
      <c r="D54" s="18">
        <v>9.7100000000000006E-2</v>
      </c>
      <c r="E54" s="3"/>
      <c r="F54" s="3"/>
      <c r="G54" s="3"/>
      <c r="H54" s="3"/>
      <c r="I54" s="9"/>
    </row>
    <row r="55" spans="1:9" x14ac:dyDescent="0.3">
      <c r="A55" s="6" t="s">
        <v>201</v>
      </c>
      <c r="B55" s="6"/>
      <c r="C55" s="6" t="s">
        <v>149</v>
      </c>
      <c r="D55" s="18">
        <v>7.1900000000000006E-2</v>
      </c>
      <c r="E55" s="3"/>
      <c r="F55" s="3"/>
      <c r="G55" s="3"/>
      <c r="H55" s="3"/>
      <c r="I55" s="9"/>
    </row>
    <row r="56" spans="1:9" x14ac:dyDescent="0.3">
      <c r="A56" s="6" t="s">
        <v>202</v>
      </c>
      <c r="B56" s="6"/>
      <c r="C56" s="6" t="s">
        <v>149</v>
      </c>
      <c r="D56" s="18">
        <v>0.1119</v>
      </c>
      <c r="E56" s="3"/>
      <c r="F56" s="3"/>
      <c r="G56" s="3"/>
      <c r="H56" s="3"/>
      <c r="I56" s="9"/>
    </row>
    <row r="57" spans="1:9" x14ac:dyDescent="0.3">
      <c r="A57" s="6" t="s">
        <v>203</v>
      </c>
      <c r="B57" s="6"/>
      <c r="C57" s="6" t="s">
        <v>149</v>
      </c>
      <c r="D57" s="18">
        <v>0.1115</v>
      </c>
      <c r="E57" s="3"/>
      <c r="F57" s="3"/>
      <c r="G57" s="3"/>
      <c r="H57" s="3"/>
      <c r="I57" s="9"/>
    </row>
    <row r="58" spans="1:9" x14ac:dyDescent="0.3">
      <c r="A58" s="6" t="s">
        <v>204</v>
      </c>
      <c r="B58" s="6"/>
      <c r="C58" s="6" t="s">
        <v>149</v>
      </c>
      <c r="D58" s="18">
        <v>7.2700000000000001E-2</v>
      </c>
      <c r="E58" s="3"/>
      <c r="F58" s="3"/>
      <c r="G58" s="3"/>
      <c r="H58" s="3"/>
      <c r="I58" s="9"/>
    </row>
    <row r="59" spans="1:9" x14ac:dyDescent="0.3">
      <c r="A59" s="6" t="s">
        <v>205</v>
      </c>
      <c r="B59" s="6"/>
      <c r="C59" s="6" t="s">
        <v>149</v>
      </c>
      <c r="D59" s="18">
        <v>4.9299999999999997E-2</v>
      </c>
      <c r="E59" s="3"/>
      <c r="F59" s="3"/>
      <c r="G59" s="3"/>
      <c r="H59" s="3"/>
      <c r="I59" s="9"/>
    </row>
    <row r="60" spans="1:9" x14ac:dyDescent="0.3">
      <c r="A60" s="4" t="s">
        <v>206</v>
      </c>
      <c r="B60" s="4"/>
      <c r="C60" s="6" t="s">
        <v>149</v>
      </c>
      <c r="D60" s="18">
        <v>0.1777</v>
      </c>
      <c r="E60" s="3"/>
      <c r="F60" s="3"/>
      <c r="G60" s="3"/>
      <c r="H60" s="3"/>
      <c r="I60" s="9"/>
    </row>
    <row r="61" spans="1:9" x14ac:dyDescent="0.3">
      <c r="A61" s="6" t="s">
        <v>207</v>
      </c>
      <c r="B61" s="6"/>
      <c r="C61" s="6" t="s">
        <v>149</v>
      </c>
      <c r="D61" s="18">
        <v>0.12839999999999999</v>
      </c>
      <c r="E61" s="3"/>
      <c r="F61" s="3"/>
      <c r="G61" s="3"/>
      <c r="H61" s="3"/>
      <c r="I61" s="9"/>
    </row>
    <row r="62" spans="1:9" x14ac:dyDescent="0.3">
      <c r="A62" s="6" t="s">
        <v>208</v>
      </c>
      <c r="B62" s="6"/>
      <c r="C62" s="6" t="s">
        <v>149</v>
      </c>
      <c r="D62" s="18">
        <v>0.1183</v>
      </c>
      <c r="E62" s="3"/>
      <c r="F62" s="3"/>
      <c r="G62" s="3"/>
      <c r="H62" s="3"/>
      <c r="I62" s="9"/>
    </row>
    <row r="63" spans="1:9" x14ac:dyDescent="0.3">
      <c r="A63" s="6" t="s">
        <v>209</v>
      </c>
      <c r="B63" s="6"/>
      <c r="C63" s="6" t="s">
        <v>149</v>
      </c>
      <c r="D63" s="39">
        <v>8.6300000000000002E-2</v>
      </c>
      <c r="E63" s="3"/>
      <c r="F63" s="3"/>
      <c r="G63" s="3"/>
      <c r="H63" s="3"/>
      <c r="I63" s="9"/>
    </row>
    <row r="64" spans="1:9" x14ac:dyDescent="0.3">
      <c r="A64" s="3"/>
      <c r="B64" s="3"/>
      <c r="C64" s="3"/>
      <c r="D64" s="3"/>
      <c r="E64" s="3"/>
      <c r="F64" s="3"/>
      <c r="G64" s="3"/>
      <c r="H64" s="3"/>
      <c r="I64" s="9"/>
    </row>
    <row r="65" spans="1:9" x14ac:dyDescent="0.3">
      <c r="A65" s="3"/>
      <c r="B65" s="3"/>
      <c r="C65" s="3"/>
      <c r="D65" s="3"/>
      <c r="E65" s="3"/>
      <c r="F65" s="3"/>
      <c r="G65" s="3"/>
      <c r="H65" s="3"/>
      <c r="I65" s="9"/>
    </row>
    <row r="66" spans="1:9" x14ac:dyDescent="0.3">
      <c r="A66" s="3"/>
      <c r="B66" s="3"/>
      <c r="C66" s="3"/>
      <c r="E66" s="3"/>
      <c r="F66" s="3"/>
      <c r="G66" s="3"/>
      <c r="H66" s="3"/>
      <c r="I66" s="9"/>
    </row>
    <row r="67" spans="1:9" x14ac:dyDescent="0.3">
      <c r="I67" s="9"/>
    </row>
    <row r="68" spans="1:9" x14ac:dyDescent="0.3">
      <c r="I68" s="9"/>
    </row>
    <row r="69" spans="1:9" x14ac:dyDescent="0.3">
      <c r="I69" s="9"/>
    </row>
    <row r="70" spans="1:9" x14ac:dyDescent="0.3">
      <c r="I70" s="9"/>
    </row>
    <row r="71" spans="1:9" x14ac:dyDescent="0.3">
      <c r="I71" s="9"/>
    </row>
    <row r="72" spans="1:9" x14ac:dyDescent="0.3">
      <c r="I72" s="9"/>
    </row>
    <row r="73" spans="1:9" x14ac:dyDescent="0.3">
      <c r="I73" s="9"/>
    </row>
    <row r="74" spans="1:9" x14ac:dyDescent="0.3">
      <c r="I74" s="9"/>
    </row>
    <row r="75" spans="1:9" x14ac:dyDescent="0.3">
      <c r="I75" s="9"/>
    </row>
    <row r="76" spans="1:9" x14ac:dyDescent="0.3">
      <c r="I76" s="9"/>
    </row>
    <row r="77" spans="1:9" x14ac:dyDescent="0.3">
      <c r="I77" s="9"/>
    </row>
    <row r="78" spans="1:9" x14ac:dyDescent="0.3">
      <c r="I78" s="9"/>
    </row>
    <row r="79" spans="1:9" x14ac:dyDescent="0.3">
      <c r="I79" s="9"/>
    </row>
    <row r="80" spans="1:9" x14ac:dyDescent="0.3">
      <c r="I80" s="9"/>
    </row>
    <row r="81" spans="9:9" x14ac:dyDescent="0.3">
      <c r="I81" s="9"/>
    </row>
    <row r="82" spans="9:9" x14ac:dyDescent="0.3">
      <c r="I82" s="9"/>
    </row>
    <row r="83" spans="9:9" x14ac:dyDescent="0.3">
      <c r="I83" s="9"/>
    </row>
    <row r="84" spans="9:9" x14ac:dyDescent="0.3">
      <c r="I84" s="9"/>
    </row>
    <row r="85" spans="9:9" x14ac:dyDescent="0.3">
      <c r="I85" s="9"/>
    </row>
    <row r="86" spans="9:9" x14ac:dyDescent="0.3">
      <c r="I86" s="9"/>
    </row>
    <row r="87" spans="9:9" x14ac:dyDescent="0.3">
      <c r="I87" s="9"/>
    </row>
    <row r="88" spans="9:9" x14ac:dyDescent="0.3">
      <c r="I88" s="9"/>
    </row>
    <row r="89" spans="9:9" x14ac:dyDescent="0.3">
      <c r="I89" s="9"/>
    </row>
    <row r="90" spans="9:9" x14ac:dyDescent="0.3">
      <c r="I90" s="9"/>
    </row>
    <row r="91" spans="9:9" x14ac:dyDescent="0.3">
      <c r="I91" s="9"/>
    </row>
    <row r="92" spans="9:9" x14ac:dyDescent="0.3">
      <c r="I92" s="9"/>
    </row>
    <row r="93" spans="9:9" x14ac:dyDescent="0.3">
      <c r="I93" s="9"/>
    </row>
    <row r="94" spans="9:9" x14ac:dyDescent="0.3">
      <c r="I94" s="9"/>
    </row>
    <row r="95" spans="9:9" x14ac:dyDescent="0.3">
      <c r="I95" s="9"/>
    </row>
    <row r="96" spans="9:9" x14ac:dyDescent="0.3">
      <c r="I96" s="9"/>
    </row>
    <row r="97" spans="9:9" x14ac:dyDescent="0.3">
      <c r="I97" s="9"/>
    </row>
    <row r="98" spans="9:9" x14ac:dyDescent="0.3">
      <c r="I98" s="10"/>
    </row>
    <row r="99" spans="9:9" x14ac:dyDescent="0.3">
      <c r="I99" s="9"/>
    </row>
    <row r="100" spans="9:9" x14ac:dyDescent="0.3">
      <c r="I100" s="9"/>
    </row>
    <row r="101" spans="9:9" x14ac:dyDescent="0.3">
      <c r="I101" s="9"/>
    </row>
    <row r="102" spans="9:9" x14ac:dyDescent="0.3">
      <c r="I102" s="9"/>
    </row>
    <row r="103" spans="9:9" x14ac:dyDescent="0.3">
      <c r="I103" s="9"/>
    </row>
    <row r="104" spans="9:9" x14ac:dyDescent="0.3">
      <c r="I104" s="9"/>
    </row>
    <row r="105" spans="9:9" x14ac:dyDescent="0.3">
      <c r="I105" s="9"/>
    </row>
    <row r="106" spans="9:9" x14ac:dyDescent="0.3">
      <c r="I106" s="9"/>
    </row>
    <row r="107" spans="9:9" x14ac:dyDescent="0.3">
      <c r="I107" s="9"/>
    </row>
    <row r="108" spans="9:9" x14ac:dyDescent="0.3">
      <c r="I108" s="9"/>
    </row>
    <row r="109" spans="9:9" x14ac:dyDescent="0.3">
      <c r="I109" s="9"/>
    </row>
    <row r="110" spans="9:9" x14ac:dyDescent="0.3">
      <c r="I110" s="9"/>
    </row>
    <row r="111" spans="9:9" x14ac:dyDescent="0.3">
      <c r="I111" s="9"/>
    </row>
    <row r="112" spans="9:9" x14ac:dyDescent="0.3">
      <c r="I112" s="9"/>
    </row>
    <row r="113" spans="9:9" x14ac:dyDescent="0.3">
      <c r="I113" s="9"/>
    </row>
    <row r="114" spans="9:9" x14ac:dyDescent="0.3">
      <c r="I114" s="9"/>
    </row>
    <row r="115" spans="9:9" x14ac:dyDescent="0.3">
      <c r="I115" s="9"/>
    </row>
  </sheetData>
  <sheetProtection algorithmName="SHA-512" hashValue="zS06R3fnCJjlsLbbSihZnI1A9jTSjZ0sINQn/2N8g67OFKXaHAkRqfzEXRpqgq8H9V6CTDlKUDWbATXuRrpzDw==" saltValue="oA9kBBPqQZ4QjRA5zQkamw==" spinCount="100000" sheet="1" objects="1" scenarios="1"/>
  <sortState xmlns:xlrd2="http://schemas.microsoft.com/office/spreadsheetml/2017/richdata2" ref="A3:D64">
    <sortCondition ref="A3"/>
  </sortState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457200</xdr:colOff>
                    <xdr:row>0</xdr:row>
                    <xdr:rowOff>114300</xdr:rowOff>
                  </from>
                  <to>
                    <xdr:col>7</xdr:col>
                    <xdr:colOff>480060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M65"/>
  <sheetViews>
    <sheetView showGridLines="0" topLeftCell="A55" zoomScale="110" zoomScaleNormal="110" workbookViewId="0">
      <selection activeCell="F6" sqref="F6"/>
    </sheetView>
  </sheetViews>
  <sheetFormatPr defaultColWidth="8.77734375" defaultRowHeight="19.95" customHeight="1" x14ac:dyDescent="0.3"/>
  <cols>
    <col min="1" max="1" width="4.6640625" customWidth="1"/>
    <col min="2" max="2" width="22.33203125" customWidth="1"/>
    <col min="5" max="9" width="12.6640625" customWidth="1"/>
    <col min="10" max="10" width="16.6640625" bestFit="1" customWidth="1"/>
    <col min="11" max="11" width="12.6640625" customWidth="1"/>
    <col min="12" max="12" width="16.6640625" customWidth="1"/>
    <col min="13" max="13" width="12.6640625" customWidth="1"/>
    <col min="15" max="15" width="7.44140625" bestFit="1" customWidth="1"/>
  </cols>
  <sheetData>
    <row r="1" spans="2:13" ht="14.4" x14ac:dyDescent="0.3">
      <c r="B1" s="3"/>
      <c r="C1" s="3"/>
      <c r="D1" s="3"/>
      <c r="I1" s="3"/>
      <c r="J1" s="3"/>
      <c r="K1" s="3"/>
      <c r="L1" s="3"/>
      <c r="M1" s="3"/>
    </row>
    <row r="2" spans="2:13" ht="19.95" customHeight="1" x14ac:dyDescent="0.3">
      <c r="B2" s="176"/>
      <c r="C2" s="176"/>
      <c r="D2" s="176"/>
      <c r="E2" s="101" t="s">
        <v>245</v>
      </c>
      <c r="F2" s="102" t="s">
        <v>213</v>
      </c>
      <c r="G2" s="101" t="s">
        <v>245</v>
      </c>
      <c r="H2" s="102" t="s">
        <v>214</v>
      </c>
      <c r="I2" s="102"/>
      <c r="J2" s="114" t="s">
        <v>268</v>
      </c>
      <c r="K2" s="102" t="s">
        <v>269</v>
      </c>
      <c r="L2" s="114" t="s">
        <v>268</v>
      </c>
      <c r="M2" s="102" t="s">
        <v>270</v>
      </c>
    </row>
    <row r="3" spans="2:13" ht="19.95" customHeight="1" x14ac:dyDescent="0.3">
      <c r="B3" s="40" t="s">
        <v>268</v>
      </c>
      <c r="C3" s="40" t="s">
        <v>212</v>
      </c>
      <c r="D3" s="104"/>
      <c r="E3" s="118" t="s">
        <v>212</v>
      </c>
      <c r="F3" s="40" t="s">
        <v>215</v>
      </c>
      <c r="G3" s="119" t="s">
        <v>212</v>
      </c>
      <c r="H3" s="40" t="s">
        <v>216</v>
      </c>
      <c r="I3" s="103"/>
      <c r="J3" s="40" t="str">
        <f>E3</f>
        <v>Abb.</v>
      </c>
      <c r="K3" s="40" t="s">
        <v>215</v>
      </c>
      <c r="L3" s="40" t="str">
        <f>G3</f>
        <v>Abb.</v>
      </c>
      <c r="M3" s="40" t="s">
        <v>216</v>
      </c>
    </row>
    <row r="4" spans="2:13" ht="19.95" customHeight="1" x14ac:dyDescent="0.3">
      <c r="B4" s="45" t="s">
        <v>91</v>
      </c>
      <c r="C4" s="46" t="s">
        <v>5</v>
      </c>
      <c r="D4" s="41"/>
      <c r="E4" s="105" t="s">
        <v>26</v>
      </c>
      <c r="F4" s="106">
        <v>95064.319000000003</v>
      </c>
      <c r="G4" s="105" t="s">
        <v>58</v>
      </c>
      <c r="H4" s="106">
        <v>230569</v>
      </c>
      <c r="I4" s="44"/>
      <c r="J4" s="46" t="str">
        <f ca="1">OFFSET(B4,,IF($E$3="Abb.",1,0),,)</f>
        <v>AL</v>
      </c>
      <c r="K4" s="48">
        <f t="shared" ref="K4:K35" ca="1" si="0">ROUND(_xlfn.IFNA(VLOOKUP(J4,$E$4:$F$64,2,0),0),0)</f>
        <v>0</v>
      </c>
      <c r="L4" s="48" t="str">
        <f ca="1">OFFSET(B4,,IF($G$3="Abb.",1,0),,)</f>
        <v>AL</v>
      </c>
      <c r="M4" s="48">
        <f t="shared" ref="M4:M35" ca="1" si="1">ROUND(_xlfn.IFNA(VLOOKUP(L4,$G$4:$H$64,2,0),0),0)</f>
        <v>0</v>
      </c>
    </row>
    <row r="5" spans="2:13" ht="19.95" customHeight="1" x14ac:dyDescent="0.3">
      <c r="B5" s="21" t="s">
        <v>90</v>
      </c>
      <c r="C5" s="21" t="s">
        <v>4</v>
      </c>
      <c r="D5" s="41"/>
      <c r="E5" s="42" t="s">
        <v>58</v>
      </c>
      <c r="F5" s="43">
        <v>425547.571</v>
      </c>
      <c r="G5" s="42"/>
      <c r="H5" s="43"/>
      <c r="I5" s="44"/>
      <c r="J5" s="21" t="str">
        <f t="shared" ref="J5:J64" ca="1" si="2">OFFSET(B5,,IF($E$3="Abb.",1,0),,)</f>
        <v>AB</v>
      </c>
      <c r="K5" s="41">
        <f t="shared" ca="1" si="0"/>
        <v>0</v>
      </c>
      <c r="L5" s="41" t="str">
        <f t="shared" ref="L5:L64" ca="1" si="3">OFFSET(B5,,IF($G$3="Abb.",1,0),,)</f>
        <v>AB</v>
      </c>
      <c r="M5" s="41">
        <f t="shared" ca="1" si="1"/>
        <v>0</v>
      </c>
    </row>
    <row r="6" spans="2:13" ht="19.95" customHeight="1" x14ac:dyDescent="0.3">
      <c r="B6" s="45" t="s">
        <v>93</v>
      </c>
      <c r="C6" s="46" t="s">
        <v>7</v>
      </c>
      <c r="D6" s="41"/>
      <c r="E6" s="105"/>
      <c r="F6" s="106"/>
      <c r="G6" s="105"/>
      <c r="H6" s="106"/>
      <c r="I6" s="44"/>
      <c r="J6" s="46" t="str">
        <f t="shared" ca="1" si="2"/>
        <v>AZ</v>
      </c>
      <c r="K6" s="48">
        <f t="shared" ca="1" si="0"/>
        <v>0</v>
      </c>
      <c r="L6" s="48" t="str">
        <f t="shared" ca="1" si="3"/>
        <v>AZ</v>
      </c>
      <c r="M6" s="48">
        <f t="shared" ca="1" si="1"/>
        <v>0</v>
      </c>
    </row>
    <row r="7" spans="2:13" ht="19.95" customHeight="1" x14ac:dyDescent="0.3">
      <c r="B7" s="21" t="s">
        <v>92</v>
      </c>
      <c r="C7" s="21" t="s">
        <v>6</v>
      </c>
      <c r="D7" s="41"/>
      <c r="E7" s="42"/>
      <c r="F7" s="43"/>
      <c r="G7" s="42"/>
      <c r="H7" s="43"/>
      <c r="I7" s="44"/>
      <c r="J7" s="21" t="str">
        <f t="shared" ca="1" si="2"/>
        <v>AR</v>
      </c>
      <c r="K7" s="41">
        <f t="shared" ca="1" si="0"/>
        <v>0</v>
      </c>
      <c r="L7" s="41" t="str">
        <f t="shared" ca="1" si="3"/>
        <v>AR</v>
      </c>
      <c r="M7" s="41">
        <f t="shared" ca="1" si="1"/>
        <v>0</v>
      </c>
    </row>
    <row r="8" spans="2:13" ht="19.95" customHeight="1" x14ac:dyDescent="0.3">
      <c r="B8" s="45" t="s">
        <v>94</v>
      </c>
      <c r="C8" s="46" t="s">
        <v>8</v>
      </c>
      <c r="D8" s="41"/>
      <c r="E8" s="105"/>
      <c r="F8" s="106"/>
      <c r="G8" s="105"/>
      <c r="H8" s="106"/>
      <c r="I8" s="44"/>
      <c r="J8" s="46" t="str">
        <f t="shared" ca="1" si="2"/>
        <v>BC</v>
      </c>
      <c r="K8" s="48">
        <f t="shared" ca="1" si="0"/>
        <v>0</v>
      </c>
      <c r="L8" s="48" t="str">
        <f t="shared" ca="1" si="3"/>
        <v>BC</v>
      </c>
      <c r="M8" s="48">
        <f t="shared" ca="1" si="1"/>
        <v>0</v>
      </c>
    </row>
    <row r="9" spans="2:13" ht="19.95" customHeight="1" x14ac:dyDescent="0.3">
      <c r="B9" s="21" t="s">
        <v>95</v>
      </c>
      <c r="C9" s="21" t="s">
        <v>9</v>
      </c>
      <c r="D9" s="41"/>
      <c r="E9" s="42"/>
      <c r="F9" s="43"/>
      <c r="G9" s="42"/>
      <c r="H9" s="43"/>
      <c r="I9" s="44"/>
      <c r="J9" s="21" t="str">
        <f t="shared" ca="1" si="2"/>
        <v>CA</v>
      </c>
      <c r="K9" s="41">
        <f t="shared" ca="1" si="0"/>
        <v>0</v>
      </c>
      <c r="L9" s="41" t="str">
        <f t="shared" ca="1" si="3"/>
        <v>CA</v>
      </c>
      <c r="M9" s="41">
        <f t="shared" ca="1" si="1"/>
        <v>0</v>
      </c>
    </row>
    <row r="10" spans="2:13" ht="19.95" customHeight="1" x14ac:dyDescent="0.3">
      <c r="B10" s="45" t="s">
        <v>96</v>
      </c>
      <c r="C10" s="46" t="s">
        <v>10</v>
      </c>
      <c r="D10" s="41"/>
      <c r="E10" s="105"/>
      <c r="F10" s="106"/>
      <c r="G10" s="105"/>
      <c r="H10" s="106"/>
      <c r="I10" s="44"/>
      <c r="J10" s="46" t="str">
        <f t="shared" ca="1" si="2"/>
        <v>CO</v>
      </c>
      <c r="K10" s="48">
        <f t="shared" ca="1" si="0"/>
        <v>0</v>
      </c>
      <c r="L10" s="48" t="str">
        <f t="shared" ca="1" si="3"/>
        <v>CO</v>
      </c>
      <c r="M10" s="48">
        <f t="shared" ca="1" si="1"/>
        <v>0</v>
      </c>
    </row>
    <row r="11" spans="2:13" ht="19.95" customHeight="1" x14ac:dyDescent="0.3">
      <c r="B11" s="21" t="s">
        <v>97</v>
      </c>
      <c r="C11" s="21" t="s">
        <v>11</v>
      </c>
      <c r="D11" s="41"/>
      <c r="E11" s="42"/>
      <c r="F11" s="43"/>
      <c r="G11" s="42"/>
      <c r="H11" s="43"/>
      <c r="I11" s="44"/>
      <c r="J11" s="21" t="str">
        <f t="shared" ca="1" si="2"/>
        <v>CT</v>
      </c>
      <c r="K11" s="41">
        <f t="shared" ca="1" si="0"/>
        <v>0</v>
      </c>
      <c r="L11" s="41" t="str">
        <f t="shared" ca="1" si="3"/>
        <v>CT</v>
      </c>
      <c r="M11" s="41">
        <f t="shared" ca="1" si="1"/>
        <v>0</v>
      </c>
    </row>
    <row r="12" spans="2:13" ht="19.95" customHeight="1" x14ac:dyDescent="0.3">
      <c r="B12" s="45" t="s">
        <v>98</v>
      </c>
      <c r="C12" s="46" t="s">
        <v>12</v>
      </c>
      <c r="D12" s="41"/>
      <c r="E12" s="105"/>
      <c r="F12" s="106"/>
      <c r="G12" s="105"/>
      <c r="H12" s="106"/>
      <c r="I12" s="44"/>
      <c r="J12" s="46" t="str">
        <f t="shared" ca="1" si="2"/>
        <v>DE</v>
      </c>
      <c r="K12" s="48">
        <f t="shared" ca="1" si="0"/>
        <v>0</v>
      </c>
      <c r="L12" s="48" t="str">
        <f t="shared" ca="1" si="3"/>
        <v>DE</v>
      </c>
      <c r="M12" s="48">
        <f t="shared" ca="1" si="1"/>
        <v>0</v>
      </c>
    </row>
    <row r="13" spans="2:13" ht="19.95" customHeight="1" x14ac:dyDescent="0.3">
      <c r="B13" s="21" t="s">
        <v>99</v>
      </c>
      <c r="C13" s="21" t="s">
        <v>13</v>
      </c>
      <c r="D13" s="41"/>
      <c r="E13" s="42"/>
      <c r="F13" s="43"/>
      <c r="G13" s="42"/>
      <c r="H13" s="43"/>
      <c r="I13" s="44"/>
      <c r="J13" s="21" t="str">
        <f t="shared" ca="1" si="2"/>
        <v>FL</v>
      </c>
      <c r="K13" s="41">
        <f t="shared" ca="1" si="0"/>
        <v>0</v>
      </c>
      <c r="L13" s="41" t="str">
        <f t="shared" ca="1" si="3"/>
        <v>FL</v>
      </c>
      <c r="M13" s="41">
        <f t="shared" ca="1" si="1"/>
        <v>0</v>
      </c>
    </row>
    <row r="14" spans="2:13" ht="19.95" customHeight="1" x14ac:dyDescent="0.3">
      <c r="B14" s="45" t="s">
        <v>100</v>
      </c>
      <c r="C14" s="46" t="s">
        <v>14</v>
      </c>
      <c r="D14" s="41"/>
      <c r="E14" s="105"/>
      <c r="F14" s="106"/>
      <c r="G14" s="105"/>
      <c r="H14" s="106"/>
      <c r="I14" s="44"/>
      <c r="J14" s="46" t="str">
        <f t="shared" ca="1" si="2"/>
        <v>GA</v>
      </c>
      <c r="K14" s="48">
        <f t="shared" ca="1" si="0"/>
        <v>0</v>
      </c>
      <c r="L14" s="48" t="str">
        <f t="shared" ca="1" si="3"/>
        <v>GA</v>
      </c>
      <c r="M14" s="48">
        <f t="shared" ca="1" si="1"/>
        <v>0</v>
      </c>
    </row>
    <row r="15" spans="2:13" ht="19.95" customHeight="1" x14ac:dyDescent="0.3">
      <c r="B15" s="21" t="s">
        <v>102</v>
      </c>
      <c r="C15" s="21" t="s">
        <v>16</v>
      </c>
      <c r="D15" s="41"/>
      <c r="E15" s="42"/>
      <c r="F15" s="43"/>
      <c r="G15" s="42"/>
      <c r="H15" s="43"/>
      <c r="I15" s="44"/>
      <c r="J15" s="21" t="str">
        <f t="shared" ca="1" si="2"/>
        <v>ID</v>
      </c>
      <c r="K15" s="41">
        <f t="shared" ca="1" si="0"/>
        <v>0</v>
      </c>
      <c r="L15" s="41" t="str">
        <f t="shared" ca="1" si="3"/>
        <v>ID</v>
      </c>
      <c r="M15" s="41">
        <f t="shared" ca="1" si="1"/>
        <v>0</v>
      </c>
    </row>
    <row r="16" spans="2:13" ht="19.95" customHeight="1" x14ac:dyDescent="0.3">
      <c r="B16" s="45" t="s">
        <v>103</v>
      </c>
      <c r="C16" s="46" t="s">
        <v>17</v>
      </c>
      <c r="D16" s="41"/>
      <c r="E16" s="105"/>
      <c r="F16" s="106"/>
      <c r="G16" s="105"/>
      <c r="H16" s="106"/>
      <c r="I16" s="44"/>
      <c r="J16" s="46" t="str">
        <f t="shared" ca="1" si="2"/>
        <v>IL</v>
      </c>
      <c r="K16" s="48">
        <f t="shared" ca="1" si="0"/>
        <v>0</v>
      </c>
      <c r="L16" s="48" t="str">
        <f t="shared" ca="1" si="3"/>
        <v>IL</v>
      </c>
      <c r="M16" s="48">
        <f t="shared" ca="1" si="1"/>
        <v>0</v>
      </c>
    </row>
    <row r="17" spans="2:13" ht="19.95" customHeight="1" x14ac:dyDescent="0.3">
      <c r="B17" s="21" t="s">
        <v>104</v>
      </c>
      <c r="C17" s="21" t="s">
        <v>18</v>
      </c>
      <c r="D17" s="41"/>
      <c r="E17" s="42"/>
      <c r="F17" s="43"/>
      <c r="G17" s="42"/>
      <c r="H17" s="43"/>
      <c r="I17" s="44"/>
      <c r="J17" s="21" t="str">
        <f t="shared" ca="1" si="2"/>
        <v>IN</v>
      </c>
      <c r="K17" s="41">
        <f t="shared" ca="1" si="0"/>
        <v>0</v>
      </c>
      <c r="L17" s="41" t="str">
        <f t="shared" ca="1" si="3"/>
        <v>IN</v>
      </c>
      <c r="M17" s="41">
        <f t="shared" ca="1" si="1"/>
        <v>0</v>
      </c>
    </row>
    <row r="18" spans="2:13" ht="19.95" customHeight="1" x14ac:dyDescent="0.3">
      <c r="B18" s="45" t="s">
        <v>244</v>
      </c>
      <c r="C18" s="46" t="s">
        <v>217</v>
      </c>
      <c r="D18" s="41"/>
      <c r="E18" s="105"/>
      <c r="F18" s="106"/>
      <c r="G18" s="105"/>
      <c r="H18" s="106"/>
      <c r="I18" s="44"/>
      <c r="J18" s="46" t="str">
        <f t="shared" ca="1" si="2"/>
        <v>IN Sur</v>
      </c>
      <c r="K18" s="48">
        <f t="shared" ca="1" si="0"/>
        <v>0</v>
      </c>
      <c r="L18" s="48" t="str">
        <f t="shared" ca="1" si="3"/>
        <v>IN Sur</v>
      </c>
      <c r="M18" s="48">
        <f t="shared" ca="1" si="1"/>
        <v>0</v>
      </c>
    </row>
    <row r="19" spans="2:13" ht="19.95" customHeight="1" x14ac:dyDescent="0.3">
      <c r="B19" s="21" t="s">
        <v>101</v>
      </c>
      <c r="C19" s="21" t="s">
        <v>15</v>
      </c>
      <c r="D19" s="41"/>
      <c r="E19" s="42"/>
      <c r="F19" s="43"/>
      <c r="G19" s="42"/>
      <c r="H19" s="43"/>
      <c r="I19" s="44"/>
      <c r="J19" s="21" t="str">
        <f t="shared" ca="1" si="2"/>
        <v>IA</v>
      </c>
      <c r="K19" s="41">
        <f t="shared" ca="1" si="0"/>
        <v>0</v>
      </c>
      <c r="L19" s="41" t="str">
        <f t="shared" ca="1" si="3"/>
        <v>IA</v>
      </c>
      <c r="M19" s="41">
        <f t="shared" ca="1" si="1"/>
        <v>0</v>
      </c>
    </row>
    <row r="20" spans="2:13" ht="19.95" customHeight="1" x14ac:dyDescent="0.3">
      <c r="B20" s="45" t="s">
        <v>105</v>
      </c>
      <c r="C20" s="46" t="s">
        <v>19</v>
      </c>
      <c r="D20" s="41"/>
      <c r="E20" s="105"/>
      <c r="F20" s="106"/>
      <c r="G20" s="105"/>
      <c r="H20" s="106"/>
      <c r="I20" s="44"/>
      <c r="J20" s="46" t="str">
        <f t="shared" ca="1" si="2"/>
        <v>KS</v>
      </c>
      <c r="K20" s="48">
        <f t="shared" ca="1" si="0"/>
        <v>0</v>
      </c>
      <c r="L20" s="48" t="str">
        <f t="shared" ca="1" si="3"/>
        <v>KS</v>
      </c>
      <c r="M20" s="48">
        <f t="shared" ca="1" si="1"/>
        <v>0</v>
      </c>
    </row>
    <row r="21" spans="2:13" ht="19.95" customHeight="1" x14ac:dyDescent="0.3">
      <c r="B21" s="21" t="s">
        <v>106</v>
      </c>
      <c r="C21" s="21" t="s">
        <v>20</v>
      </c>
      <c r="D21" s="41"/>
      <c r="E21" s="42"/>
      <c r="F21" s="43"/>
      <c r="G21" s="42"/>
      <c r="H21" s="43"/>
      <c r="I21" s="44"/>
      <c r="J21" s="21" t="str">
        <f t="shared" ca="1" si="2"/>
        <v>KY</v>
      </c>
      <c r="K21" s="41">
        <f t="shared" ca="1" si="0"/>
        <v>0</v>
      </c>
      <c r="L21" s="41" t="str">
        <f t="shared" ca="1" si="3"/>
        <v>KY</v>
      </c>
      <c r="M21" s="41">
        <f t="shared" ca="1" si="1"/>
        <v>0</v>
      </c>
    </row>
    <row r="22" spans="2:13" ht="19.95" customHeight="1" x14ac:dyDescent="0.3">
      <c r="B22" s="45" t="s">
        <v>243</v>
      </c>
      <c r="C22" s="46" t="s">
        <v>218</v>
      </c>
      <c r="D22" s="41"/>
      <c r="E22" s="105"/>
      <c r="F22" s="106"/>
      <c r="G22" s="105"/>
      <c r="H22" s="106"/>
      <c r="I22" s="44"/>
      <c r="J22" s="46" t="str">
        <f t="shared" ca="1" si="2"/>
        <v>KY Sur</v>
      </c>
      <c r="K22" s="48">
        <f t="shared" ca="1" si="0"/>
        <v>0</v>
      </c>
      <c r="L22" s="48" t="str">
        <f t="shared" ca="1" si="3"/>
        <v>KY Sur</v>
      </c>
      <c r="M22" s="48">
        <f t="shared" ca="1" si="1"/>
        <v>0</v>
      </c>
    </row>
    <row r="23" spans="2:13" ht="19.95" customHeight="1" x14ac:dyDescent="0.3">
      <c r="B23" s="21" t="s">
        <v>107</v>
      </c>
      <c r="C23" s="21" t="s">
        <v>21</v>
      </c>
      <c r="D23" s="41"/>
      <c r="E23" s="42"/>
      <c r="F23" s="43"/>
      <c r="G23" s="42"/>
      <c r="H23" s="43"/>
      <c r="I23" s="44"/>
      <c r="J23" s="21" t="str">
        <f t="shared" ca="1" si="2"/>
        <v>LA</v>
      </c>
      <c r="K23" s="41">
        <f t="shared" ca="1" si="0"/>
        <v>0</v>
      </c>
      <c r="L23" s="41" t="str">
        <f t="shared" ca="1" si="3"/>
        <v>LA</v>
      </c>
      <c r="M23" s="41">
        <f t="shared" ca="1" si="1"/>
        <v>0</v>
      </c>
    </row>
    <row r="24" spans="2:13" ht="19.95" customHeight="1" x14ac:dyDescent="0.3">
      <c r="B24" s="45" t="s">
        <v>111</v>
      </c>
      <c r="C24" s="46" t="s">
        <v>23</v>
      </c>
      <c r="D24" s="41"/>
      <c r="E24" s="105"/>
      <c r="F24" s="106"/>
      <c r="G24" s="105"/>
      <c r="H24" s="106"/>
      <c r="I24" s="44"/>
      <c r="J24" s="46" t="str">
        <f t="shared" ca="1" si="2"/>
        <v>ME</v>
      </c>
      <c r="K24" s="48">
        <f t="shared" ca="1" si="0"/>
        <v>0</v>
      </c>
      <c r="L24" s="48" t="str">
        <f t="shared" ca="1" si="3"/>
        <v>ME</v>
      </c>
      <c r="M24" s="48">
        <f t="shared" ca="1" si="1"/>
        <v>0</v>
      </c>
    </row>
    <row r="25" spans="2:13" ht="19.95" customHeight="1" x14ac:dyDescent="0.3">
      <c r="B25" s="21" t="s">
        <v>109</v>
      </c>
      <c r="C25" s="21" t="s">
        <v>22</v>
      </c>
      <c r="D25" s="41"/>
      <c r="E25" s="42"/>
      <c r="F25" s="43"/>
      <c r="G25" s="42"/>
      <c r="H25" s="43"/>
      <c r="I25" s="44"/>
      <c r="J25" s="21" t="str">
        <f t="shared" ca="1" si="2"/>
        <v>MB</v>
      </c>
      <c r="K25" s="41">
        <f t="shared" ca="1" si="0"/>
        <v>0</v>
      </c>
      <c r="L25" s="41" t="str">
        <f t="shared" ca="1" si="3"/>
        <v>MB</v>
      </c>
      <c r="M25" s="41">
        <f t="shared" ca="1" si="1"/>
        <v>0</v>
      </c>
    </row>
    <row r="26" spans="2:13" ht="19.95" customHeight="1" x14ac:dyDescent="0.3">
      <c r="B26" s="45" t="s">
        <v>110</v>
      </c>
      <c r="C26" s="46" t="s">
        <v>24</v>
      </c>
      <c r="D26" s="41"/>
      <c r="E26" s="105"/>
      <c r="F26" s="106"/>
      <c r="G26" s="105"/>
      <c r="H26" s="106"/>
      <c r="I26" s="44"/>
      <c r="J26" s="46" t="str">
        <f t="shared" ca="1" si="2"/>
        <v>MD</v>
      </c>
      <c r="K26" s="48">
        <f t="shared" ca="1" si="0"/>
        <v>0</v>
      </c>
      <c r="L26" s="48" t="str">
        <f t="shared" ca="1" si="3"/>
        <v>MD</v>
      </c>
      <c r="M26" s="48">
        <f t="shared" ca="1" si="1"/>
        <v>0</v>
      </c>
    </row>
    <row r="27" spans="2:13" ht="19.95" customHeight="1" x14ac:dyDescent="0.3">
      <c r="B27" s="21" t="s">
        <v>108</v>
      </c>
      <c r="C27" s="21" t="s">
        <v>25</v>
      </c>
      <c r="D27" s="41"/>
      <c r="E27" s="42"/>
      <c r="F27" s="43"/>
      <c r="G27" s="42"/>
      <c r="H27" s="43"/>
      <c r="I27" s="44"/>
      <c r="J27" s="21" t="str">
        <f t="shared" ca="1" si="2"/>
        <v>MA</v>
      </c>
      <c r="K27" s="41">
        <f t="shared" ca="1" si="0"/>
        <v>0</v>
      </c>
      <c r="L27" s="41" t="str">
        <f t="shared" ca="1" si="3"/>
        <v>MA</v>
      </c>
      <c r="M27" s="41">
        <f t="shared" ca="1" si="1"/>
        <v>0</v>
      </c>
    </row>
    <row r="28" spans="2:13" ht="19.95" customHeight="1" x14ac:dyDescent="0.3">
      <c r="B28" s="45" t="s">
        <v>112</v>
      </c>
      <c r="C28" s="46" t="s">
        <v>26</v>
      </c>
      <c r="D28" s="41"/>
      <c r="E28" s="105"/>
      <c r="F28" s="106"/>
      <c r="G28" s="105"/>
      <c r="H28" s="106"/>
      <c r="I28" s="44"/>
      <c r="J28" s="46" t="str">
        <f t="shared" ca="1" si="2"/>
        <v>MI</v>
      </c>
      <c r="K28" s="48">
        <f t="shared" ca="1" si="0"/>
        <v>95064</v>
      </c>
      <c r="L28" s="48" t="str">
        <f t="shared" ca="1" si="3"/>
        <v>MI</v>
      </c>
      <c r="M28" s="48">
        <f t="shared" ca="1" si="1"/>
        <v>0</v>
      </c>
    </row>
    <row r="29" spans="2:13" ht="19.95" customHeight="1" x14ac:dyDescent="0.3">
      <c r="B29" s="21" t="s">
        <v>113</v>
      </c>
      <c r="C29" s="21" t="s">
        <v>27</v>
      </c>
      <c r="D29" s="41"/>
      <c r="E29" s="42"/>
      <c r="F29" s="43"/>
      <c r="G29" s="42"/>
      <c r="H29" s="43"/>
      <c r="I29" s="44"/>
      <c r="J29" s="21" t="str">
        <f t="shared" ca="1" si="2"/>
        <v>MN</v>
      </c>
      <c r="K29" s="41">
        <f t="shared" ca="1" si="0"/>
        <v>0</v>
      </c>
      <c r="L29" s="41" t="str">
        <f t="shared" ca="1" si="3"/>
        <v>MN</v>
      </c>
      <c r="M29" s="41">
        <f t="shared" ca="1" si="1"/>
        <v>0</v>
      </c>
    </row>
    <row r="30" spans="2:13" ht="19.95" customHeight="1" x14ac:dyDescent="0.3">
      <c r="B30" s="45" t="s">
        <v>115</v>
      </c>
      <c r="C30" s="46" t="s">
        <v>28</v>
      </c>
      <c r="D30" s="41"/>
      <c r="E30" s="105"/>
      <c r="F30" s="106"/>
      <c r="G30" s="105"/>
      <c r="H30" s="106"/>
      <c r="I30" s="44"/>
      <c r="J30" s="46" t="str">
        <f t="shared" ca="1" si="2"/>
        <v>MS</v>
      </c>
      <c r="K30" s="48">
        <f t="shared" ca="1" si="0"/>
        <v>0</v>
      </c>
      <c r="L30" s="48" t="str">
        <f t="shared" ca="1" si="3"/>
        <v>MS</v>
      </c>
      <c r="M30" s="48">
        <f t="shared" ca="1" si="1"/>
        <v>0</v>
      </c>
    </row>
    <row r="31" spans="2:13" ht="19.95" customHeight="1" x14ac:dyDescent="0.3">
      <c r="B31" s="21" t="s">
        <v>114</v>
      </c>
      <c r="C31" s="21" t="s">
        <v>29</v>
      </c>
      <c r="D31" s="41"/>
      <c r="E31" s="42"/>
      <c r="F31" s="43"/>
      <c r="G31" s="42"/>
      <c r="H31" s="43"/>
      <c r="I31" s="44"/>
      <c r="J31" s="21" t="str">
        <f t="shared" ca="1" si="2"/>
        <v>MO</v>
      </c>
      <c r="K31" s="41">
        <f t="shared" ca="1" si="0"/>
        <v>0</v>
      </c>
      <c r="L31" s="41" t="str">
        <f t="shared" ca="1" si="3"/>
        <v>MO</v>
      </c>
      <c r="M31" s="41">
        <f t="shared" ca="1" si="1"/>
        <v>0</v>
      </c>
    </row>
    <row r="32" spans="2:13" ht="19.95" customHeight="1" x14ac:dyDescent="0.3">
      <c r="B32" s="45" t="s">
        <v>116</v>
      </c>
      <c r="C32" s="46" t="s">
        <v>30</v>
      </c>
      <c r="D32" s="41"/>
      <c r="E32" s="105"/>
      <c r="F32" s="106"/>
      <c r="G32" s="105"/>
      <c r="H32" s="106"/>
      <c r="I32" s="44"/>
      <c r="J32" s="46" t="str">
        <f t="shared" ca="1" si="2"/>
        <v>MT</v>
      </c>
      <c r="K32" s="48">
        <f t="shared" ca="1" si="0"/>
        <v>0</v>
      </c>
      <c r="L32" s="48" t="str">
        <f t="shared" ca="1" si="3"/>
        <v>MT</v>
      </c>
      <c r="M32" s="48">
        <f t="shared" ca="1" si="1"/>
        <v>0</v>
      </c>
    </row>
    <row r="33" spans="2:13" ht="19.95" customHeight="1" x14ac:dyDescent="0.3">
      <c r="B33" s="21" t="s">
        <v>120</v>
      </c>
      <c r="C33" s="21" t="s">
        <v>31</v>
      </c>
      <c r="D33" s="41"/>
      <c r="E33" s="42"/>
      <c r="F33" s="43"/>
      <c r="G33" s="42"/>
      <c r="H33" s="43"/>
      <c r="I33" s="44"/>
      <c r="J33" s="21" t="str">
        <f t="shared" ca="1" si="2"/>
        <v>NE</v>
      </c>
      <c r="K33" s="41">
        <f t="shared" ca="1" si="0"/>
        <v>0</v>
      </c>
      <c r="L33" s="41" t="str">
        <f t="shared" ca="1" si="3"/>
        <v>NE</v>
      </c>
      <c r="M33" s="41">
        <f t="shared" ca="1" si="1"/>
        <v>0</v>
      </c>
    </row>
    <row r="34" spans="2:13" ht="19.95" customHeight="1" x14ac:dyDescent="0.3">
      <c r="B34" s="45" t="s">
        <v>126</v>
      </c>
      <c r="C34" s="46" t="s">
        <v>32</v>
      </c>
      <c r="D34" s="41"/>
      <c r="E34" s="105"/>
      <c r="F34" s="106"/>
      <c r="G34" s="105"/>
      <c r="H34" s="106"/>
      <c r="I34" s="44"/>
      <c r="J34" s="46" t="str">
        <f t="shared" ca="1" si="2"/>
        <v>NV</v>
      </c>
      <c r="K34" s="48">
        <f t="shared" ca="1" si="0"/>
        <v>0</v>
      </c>
      <c r="L34" s="48" t="str">
        <f t="shared" ca="1" si="3"/>
        <v>NV</v>
      </c>
      <c r="M34" s="48">
        <f t="shared" ca="1" si="1"/>
        <v>0</v>
      </c>
    </row>
    <row r="35" spans="2:13" ht="19.95" customHeight="1" x14ac:dyDescent="0.3">
      <c r="B35" s="21" t="s">
        <v>117</v>
      </c>
      <c r="C35" s="21" t="s">
        <v>55</v>
      </c>
      <c r="D35" s="41"/>
      <c r="E35" s="42"/>
      <c r="F35" s="43"/>
      <c r="G35" s="42"/>
      <c r="H35" s="43"/>
      <c r="I35" s="44"/>
      <c r="J35" s="21" t="str">
        <f t="shared" ca="1" si="2"/>
        <v>NB</v>
      </c>
      <c r="K35" s="41">
        <f t="shared" ca="1" si="0"/>
        <v>0</v>
      </c>
      <c r="L35" s="41" t="str">
        <f t="shared" ca="1" si="3"/>
        <v>NB</v>
      </c>
      <c r="M35" s="41">
        <f t="shared" ca="1" si="1"/>
        <v>0</v>
      </c>
    </row>
    <row r="36" spans="2:13" ht="19.95" customHeight="1" x14ac:dyDescent="0.3">
      <c r="B36" s="45" t="s">
        <v>122</v>
      </c>
      <c r="C36" s="46" t="s">
        <v>33</v>
      </c>
      <c r="D36" s="41"/>
      <c r="E36" s="105"/>
      <c r="F36" s="106"/>
      <c r="G36" s="105"/>
      <c r="H36" s="106"/>
      <c r="I36" s="44"/>
      <c r="J36" s="46" t="str">
        <f t="shared" ca="1" si="2"/>
        <v>NH</v>
      </c>
      <c r="K36" s="48">
        <f t="shared" ref="K36:K64" ca="1" si="4">ROUND(_xlfn.IFNA(VLOOKUP(J36,$E$4:$F$64,2,0),0),0)</f>
        <v>0</v>
      </c>
      <c r="L36" s="48" t="str">
        <f t="shared" ca="1" si="3"/>
        <v>NH</v>
      </c>
      <c r="M36" s="48">
        <f t="shared" ref="M36:M64" ca="1" si="5">ROUND(_xlfn.IFNA(VLOOKUP(L36,$G$4:$H$64,2,0),0),0)</f>
        <v>0</v>
      </c>
    </row>
    <row r="37" spans="2:13" ht="19.95" customHeight="1" x14ac:dyDescent="0.3">
      <c r="B37" s="21" t="s">
        <v>123</v>
      </c>
      <c r="C37" s="21" t="s">
        <v>34</v>
      </c>
      <c r="D37" s="41"/>
      <c r="E37" s="42"/>
      <c r="F37" s="43"/>
      <c r="G37" s="42"/>
      <c r="H37" s="43"/>
      <c r="I37" s="44"/>
      <c r="J37" s="21" t="str">
        <f t="shared" ca="1" si="2"/>
        <v>NJ</v>
      </c>
      <c r="K37" s="41">
        <f t="shared" ca="1" si="4"/>
        <v>0</v>
      </c>
      <c r="L37" s="41" t="str">
        <f t="shared" ca="1" si="3"/>
        <v>NJ</v>
      </c>
      <c r="M37" s="41">
        <f t="shared" ca="1" si="5"/>
        <v>0</v>
      </c>
    </row>
    <row r="38" spans="2:13" ht="19.95" customHeight="1" x14ac:dyDescent="0.3">
      <c r="B38" s="45" t="s">
        <v>124</v>
      </c>
      <c r="C38" s="46" t="s">
        <v>36</v>
      </c>
      <c r="D38" s="41"/>
      <c r="E38" s="105"/>
      <c r="F38" s="106"/>
      <c r="G38" s="105"/>
      <c r="H38" s="106"/>
      <c r="I38" s="44"/>
      <c r="J38" s="46" t="str">
        <f t="shared" ca="1" si="2"/>
        <v>NM</v>
      </c>
      <c r="K38" s="48">
        <f t="shared" ca="1" si="4"/>
        <v>0</v>
      </c>
      <c r="L38" s="48" t="str">
        <f t="shared" ca="1" si="3"/>
        <v>NM</v>
      </c>
      <c r="M38" s="48">
        <f t="shared" ca="1" si="5"/>
        <v>0</v>
      </c>
    </row>
    <row r="39" spans="2:13" ht="19.95" customHeight="1" x14ac:dyDescent="0.3">
      <c r="B39" s="21" t="s">
        <v>127</v>
      </c>
      <c r="C39" s="21" t="s">
        <v>35</v>
      </c>
      <c r="D39" s="41"/>
      <c r="E39" s="42"/>
      <c r="F39" s="43"/>
      <c r="G39" s="42"/>
      <c r="H39" s="43"/>
      <c r="I39" s="44"/>
      <c r="J39" s="21" t="str">
        <f t="shared" ca="1" si="2"/>
        <v>NY</v>
      </c>
      <c r="K39" s="41">
        <f t="shared" ca="1" si="4"/>
        <v>0</v>
      </c>
      <c r="L39" s="41" t="str">
        <f t="shared" ca="1" si="3"/>
        <v>NY</v>
      </c>
      <c r="M39" s="41">
        <f t="shared" ca="1" si="5"/>
        <v>0</v>
      </c>
    </row>
    <row r="40" spans="2:13" ht="19.95" customHeight="1" x14ac:dyDescent="0.3">
      <c r="B40" s="45" t="s">
        <v>121</v>
      </c>
      <c r="C40" s="46" t="s">
        <v>56</v>
      </c>
      <c r="D40" s="41"/>
      <c r="E40" s="105"/>
      <c r="F40" s="106"/>
      <c r="G40" s="105"/>
      <c r="H40" s="106"/>
      <c r="I40" s="44"/>
      <c r="J40" s="46" t="str">
        <f t="shared" ca="1" si="2"/>
        <v>NL</v>
      </c>
      <c r="K40" s="48">
        <f t="shared" ca="1" si="4"/>
        <v>0</v>
      </c>
      <c r="L40" s="48" t="str">
        <f t="shared" ca="1" si="3"/>
        <v>NL</v>
      </c>
      <c r="M40" s="48">
        <f t="shared" ca="1" si="5"/>
        <v>0</v>
      </c>
    </row>
    <row r="41" spans="2:13" ht="19.95" customHeight="1" x14ac:dyDescent="0.3">
      <c r="B41" s="45" t="s">
        <v>118</v>
      </c>
      <c r="C41" s="46" t="s">
        <v>37</v>
      </c>
      <c r="D41" s="41"/>
      <c r="E41" s="105"/>
      <c r="F41" s="106"/>
      <c r="G41" s="105"/>
      <c r="H41" s="106"/>
      <c r="I41" s="44"/>
      <c r="J41" s="46" t="str">
        <f t="shared" ca="1" si="2"/>
        <v>NC</v>
      </c>
      <c r="K41" s="48">
        <f t="shared" ca="1" si="4"/>
        <v>0</v>
      </c>
      <c r="L41" s="48" t="str">
        <f t="shared" ca="1" si="3"/>
        <v>NC</v>
      </c>
      <c r="M41" s="48">
        <f t="shared" ca="1" si="5"/>
        <v>0</v>
      </c>
    </row>
    <row r="42" spans="2:13" ht="19.95" customHeight="1" x14ac:dyDescent="0.3">
      <c r="B42" s="21" t="s">
        <v>119</v>
      </c>
      <c r="C42" s="21" t="s">
        <v>38</v>
      </c>
      <c r="D42" s="41"/>
      <c r="E42" s="42"/>
      <c r="F42" s="43"/>
      <c r="G42" s="42"/>
      <c r="H42" s="43"/>
      <c r="I42" s="44"/>
      <c r="J42" s="21" t="str">
        <f t="shared" ca="1" si="2"/>
        <v>ND</v>
      </c>
      <c r="K42" s="41">
        <f t="shared" ca="1" si="4"/>
        <v>0</v>
      </c>
      <c r="L42" s="41" t="str">
        <f t="shared" ca="1" si="3"/>
        <v>ND</v>
      </c>
      <c r="M42" s="41">
        <f t="shared" ca="1" si="5"/>
        <v>0</v>
      </c>
    </row>
    <row r="43" spans="2:13" ht="19.95" customHeight="1" x14ac:dyDescent="0.3">
      <c r="B43" s="45" t="s">
        <v>125</v>
      </c>
      <c r="C43" s="46" t="s">
        <v>57</v>
      </c>
      <c r="D43" s="41"/>
      <c r="E43" s="105"/>
      <c r="F43" s="106"/>
      <c r="G43" s="105"/>
      <c r="H43" s="106"/>
      <c r="I43" s="44"/>
      <c r="J43" s="46" t="str">
        <f t="shared" ca="1" si="2"/>
        <v>NS</v>
      </c>
      <c r="K43" s="48">
        <f t="shared" ca="1" si="4"/>
        <v>0</v>
      </c>
      <c r="L43" s="48" t="str">
        <f t="shared" ca="1" si="3"/>
        <v>NS</v>
      </c>
      <c r="M43" s="48">
        <f t="shared" ca="1" si="5"/>
        <v>0</v>
      </c>
    </row>
    <row r="44" spans="2:13" ht="19.95" customHeight="1" x14ac:dyDescent="0.3">
      <c r="B44" s="21" t="s">
        <v>128</v>
      </c>
      <c r="C44" s="21" t="s">
        <v>39</v>
      </c>
      <c r="D44" s="41"/>
      <c r="E44" s="42"/>
      <c r="F44" s="43"/>
      <c r="G44" s="42"/>
      <c r="H44" s="43"/>
      <c r="I44" s="44"/>
      <c r="J44" s="21" t="str">
        <f t="shared" ca="1" si="2"/>
        <v>OH</v>
      </c>
      <c r="K44" s="41">
        <f t="shared" ca="1" si="4"/>
        <v>0</v>
      </c>
      <c r="L44" s="41" t="str">
        <f t="shared" ca="1" si="3"/>
        <v>OH</v>
      </c>
      <c r="M44" s="41">
        <f t="shared" ca="1" si="5"/>
        <v>0</v>
      </c>
    </row>
    <row r="45" spans="2:13" ht="19.95" customHeight="1" x14ac:dyDescent="0.3">
      <c r="B45" s="45" t="s">
        <v>129</v>
      </c>
      <c r="C45" s="46" t="s">
        <v>40</v>
      </c>
      <c r="D45" s="41"/>
      <c r="E45" s="105"/>
      <c r="F45" s="106"/>
      <c r="G45" s="105"/>
      <c r="H45" s="106"/>
      <c r="I45" s="44"/>
      <c r="J45" s="46" t="str">
        <f t="shared" ca="1" si="2"/>
        <v>OK</v>
      </c>
      <c r="K45" s="48">
        <f t="shared" ca="1" si="4"/>
        <v>0</v>
      </c>
      <c r="L45" s="48" t="str">
        <f t="shared" ca="1" si="3"/>
        <v>OK</v>
      </c>
      <c r="M45" s="48">
        <f t="shared" ca="1" si="5"/>
        <v>0</v>
      </c>
    </row>
    <row r="46" spans="2:13" ht="19.95" customHeight="1" x14ac:dyDescent="0.3">
      <c r="B46" s="21" t="s">
        <v>130</v>
      </c>
      <c r="C46" s="21" t="s">
        <v>58</v>
      </c>
      <c r="D46" s="41"/>
      <c r="E46" s="42"/>
      <c r="F46" s="43"/>
      <c r="G46" s="42"/>
      <c r="H46" s="43"/>
      <c r="I46" s="44"/>
      <c r="J46" s="21" t="str">
        <f t="shared" ca="1" si="2"/>
        <v>ON</v>
      </c>
      <c r="K46" s="41">
        <f t="shared" ca="1" si="4"/>
        <v>425548</v>
      </c>
      <c r="L46" s="41" t="str">
        <f t="shared" ca="1" si="3"/>
        <v>ON</v>
      </c>
      <c r="M46" s="41">
        <f t="shared" ca="1" si="5"/>
        <v>230569</v>
      </c>
    </row>
    <row r="47" spans="2:13" ht="19.95" customHeight="1" x14ac:dyDescent="0.3">
      <c r="B47" s="45" t="s">
        <v>131</v>
      </c>
      <c r="C47" s="46" t="s">
        <v>41</v>
      </c>
      <c r="D47" s="41"/>
      <c r="E47" s="105"/>
      <c r="F47" s="106"/>
      <c r="G47" s="105"/>
      <c r="H47" s="106"/>
      <c r="I47" s="44"/>
      <c r="J47" s="46" t="str">
        <f t="shared" ca="1" si="2"/>
        <v>OR</v>
      </c>
      <c r="K47" s="48">
        <f t="shared" ca="1" si="4"/>
        <v>0</v>
      </c>
      <c r="L47" s="48" t="str">
        <f t="shared" ca="1" si="3"/>
        <v>OR</v>
      </c>
      <c r="M47" s="48">
        <f t="shared" ca="1" si="5"/>
        <v>0</v>
      </c>
    </row>
    <row r="48" spans="2:13" ht="19.95" customHeight="1" x14ac:dyDescent="0.3">
      <c r="B48" s="21" t="s">
        <v>132</v>
      </c>
      <c r="C48" s="21" t="s">
        <v>42</v>
      </c>
      <c r="D48" s="41"/>
      <c r="E48" s="42"/>
      <c r="F48" s="43"/>
      <c r="G48" s="42"/>
      <c r="H48" s="43"/>
      <c r="I48" s="44"/>
      <c r="J48" s="21" t="str">
        <f t="shared" ca="1" si="2"/>
        <v>PA</v>
      </c>
      <c r="K48" s="41">
        <f t="shared" ca="1" si="4"/>
        <v>0</v>
      </c>
      <c r="L48" s="41" t="str">
        <f t="shared" ca="1" si="3"/>
        <v>PA</v>
      </c>
      <c r="M48" s="41">
        <f t="shared" ca="1" si="5"/>
        <v>0</v>
      </c>
    </row>
    <row r="49" spans="2:13" ht="19.95" customHeight="1" x14ac:dyDescent="0.3">
      <c r="B49" s="45" t="s">
        <v>133</v>
      </c>
      <c r="C49" s="46" t="s">
        <v>59</v>
      </c>
      <c r="D49" s="41"/>
      <c r="E49" s="105"/>
      <c r="F49" s="106"/>
      <c r="G49" s="105"/>
      <c r="H49" s="106"/>
      <c r="I49" s="44"/>
      <c r="J49" s="46" t="str">
        <f t="shared" ca="1" si="2"/>
        <v>PE</v>
      </c>
      <c r="K49" s="48">
        <f t="shared" ca="1" si="4"/>
        <v>0</v>
      </c>
      <c r="L49" s="48" t="str">
        <f t="shared" ca="1" si="3"/>
        <v>PE</v>
      </c>
      <c r="M49" s="48">
        <f t="shared" ca="1" si="5"/>
        <v>0</v>
      </c>
    </row>
    <row r="50" spans="2:13" ht="19.95" customHeight="1" x14ac:dyDescent="0.3">
      <c r="B50" s="21" t="s">
        <v>134</v>
      </c>
      <c r="C50" s="21" t="s">
        <v>60</v>
      </c>
      <c r="D50" s="41"/>
      <c r="E50" s="42"/>
      <c r="F50" s="43"/>
      <c r="G50" s="42"/>
      <c r="H50" s="43"/>
      <c r="I50" s="44"/>
      <c r="J50" s="21" t="str">
        <f t="shared" ca="1" si="2"/>
        <v>QC</v>
      </c>
      <c r="K50" s="41">
        <f t="shared" ca="1" si="4"/>
        <v>0</v>
      </c>
      <c r="L50" s="41" t="str">
        <f t="shared" ca="1" si="3"/>
        <v>QC</v>
      </c>
      <c r="M50" s="41">
        <f t="shared" ca="1" si="5"/>
        <v>0</v>
      </c>
    </row>
    <row r="51" spans="2:13" ht="19.95" customHeight="1" x14ac:dyDescent="0.3">
      <c r="B51" s="45" t="s">
        <v>135</v>
      </c>
      <c r="C51" s="46" t="s">
        <v>43</v>
      </c>
      <c r="D51" s="41"/>
      <c r="E51" s="105"/>
      <c r="F51" s="106"/>
      <c r="G51" s="105"/>
      <c r="H51" s="106"/>
      <c r="I51" s="44"/>
      <c r="J51" s="46" t="str">
        <f t="shared" ca="1" si="2"/>
        <v>RI</v>
      </c>
      <c r="K51" s="48">
        <f t="shared" ca="1" si="4"/>
        <v>0</v>
      </c>
      <c r="L51" s="48" t="str">
        <f t="shared" ca="1" si="3"/>
        <v>RI</v>
      </c>
      <c r="M51" s="48">
        <f t="shared" ca="1" si="5"/>
        <v>0</v>
      </c>
    </row>
    <row r="52" spans="2:13" ht="19.95" customHeight="1" x14ac:dyDescent="0.3">
      <c r="B52" s="21" t="s">
        <v>138</v>
      </c>
      <c r="C52" s="21" t="s">
        <v>61</v>
      </c>
      <c r="D52" s="41"/>
      <c r="E52" s="42"/>
      <c r="F52" s="43"/>
      <c r="G52" s="42"/>
      <c r="H52" s="43"/>
      <c r="I52" s="44"/>
      <c r="J52" s="21" t="str">
        <f t="shared" ca="1" si="2"/>
        <v>SK</v>
      </c>
      <c r="K52" s="41">
        <f t="shared" ca="1" si="4"/>
        <v>0</v>
      </c>
      <c r="L52" s="41" t="str">
        <f t="shared" ca="1" si="3"/>
        <v>SK</v>
      </c>
      <c r="M52" s="41">
        <f t="shared" ca="1" si="5"/>
        <v>0</v>
      </c>
    </row>
    <row r="53" spans="2:13" ht="19.95" customHeight="1" x14ac:dyDescent="0.3">
      <c r="B53" s="45" t="s">
        <v>136</v>
      </c>
      <c r="C53" s="46" t="s">
        <v>44</v>
      </c>
      <c r="D53" s="41"/>
      <c r="E53" s="105"/>
      <c r="F53" s="106"/>
      <c r="G53" s="105"/>
      <c r="H53" s="106"/>
      <c r="I53" s="44"/>
      <c r="J53" s="46" t="str">
        <f t="shared" ca="1" si="2"/>
        <v>SC</v>
      </c>
      <c r="K53" s="48">
        <f t="shared" ca="1" si="4"/>
        <v>0</v>
      </c>
      <c r="L53" s="48" t="str">
        <f t="shared" ca="1" si="3"/>
        <v>SC</v>
      </c>
      <c r="M53" s="48">
        <f t="shared" ca="1" si="5"/>
        <v>0</v>
      </c>
    </row>
    <row r="54" spans="2:13" ht="19.95" customHeight="1" x14ac:dyDescent="0.3">
      <c r="B54" s="21" t="s">
        <v>137</v>
      </c>
      <c r="C54" s="21" t="s">
        <v>45</v>
      </c>
      <c r="D54" s="41"/>
      <c r="E54" s="42"/>
      <c r="F54" s="43"/>
      <c r="G54" s="42"/>
      <c r="H54" s="43"/>
      <c r="I54" s="44"/>
      <c r="J54" s="21" t="str">
        <f t="shared" ca="1" si="2"/>
        <v>SD</v>
      </c>
      <c r="K54" s="41">
        <f t="shared" ca="1" si="4"/>
        <v>0</v>
      </c>
      <c r="L54" s="41" t="str">
        <f t="shared" ca="1" si="3"/>
        <v>SD</v>
      </c>
      <c r="M54" s="41">
        <f t="shared" ca="1" si="5"/>
        <v>0</v>
      </c>
    </row>
    <row r="55" spans="2:13" ht="19.95" customHeight="1" x14ac:dyDescent="0.3">
      <c r="B55" s="45" t="s">
        <v>139</v>
      </c>
      <c r="C55" s="46" t="s">
        <v>46</v>
      </c>
      <c r="D55" s="41"/>
      <c r="E55" s="105"/>
      <c r="F55" s="106"/>
      <c r="G55" s="105"/>
      <c r="H55" s="106"/>
      <c r="I55" s="44"/>
      <c r="J55" s="46" t="str">
        <f t="shared" ca="1" si="2"/>
        <v>TN</v>
      </c>
      <c r="K55" s="48">
        <f t="shared" ca="1" si="4"/>
        <v>0</v>
      </c>
      <c r="L55" s="48" t="str">
        <f t="shared" ca="1" si="3"/>
        <v>TN</v>
      </c>
      <c r="M55" s="48">
        <f t="shared" ca="1" si="5"/>
        <v>0</v>
      </c>
    </row>
    <row r="56" spans="2:13" ht="19.95" customHeight="1" x14ac:dyDescent="0.3">
      <c r="B56" s="21" t="s">
        <v>140</v>
      </c>
      <c r="C56" s="21" t="s">
        <v>47</v>
      </c>
      <c r="D56" s="41"/>
      <c r="E56" s="42"/>
      <c r="F56" s="43"/>
      <c r="G56" s="42"/>
      <c r="H56" s="43"/>
      <c r="I56" s="44"/>
      <c r="J56" s="21" t="str">
        <f t="shared" ca="1" si="2"/>
        <v>TX</v>
      </c>
      <c r="K56" s="41">
        <f t="shared" ca="1" si="4"/>
        <v>0</v>
      </c>
      <c r="L56" s="41" t="str">
        <f t="shared" ca="1" si="3"/>
        <v>TX</v>
      </c>
      <c r="M56" s="41">
        <f t="shared" ca="1" si="5"/>
        <v>0</v>
      </c>
    </row>
    <row r="57" spans="2:13" ht="19.95" customHeight="1" x14ac:dyDescent="0.3">
      <c r="B57" s="45" t="s">
        <v>141</v>
      </c>
      <c r="C57" s="46" t="s">
        <v>48</v>
      </c>
      <c r="D57" s="41"/>
      <c r="E57" s="105"/>
      <c r="F57" s="106"/>
      <c r="G57" s="105"/>
      <c r="H57" s="106"/>
      <c r="I57" s="44"/>
      <c r="J57" s="46" t="str">
        <f t="shared" ca="1" si="2"/>
        <v>UT</v>
      </c>
      <c r="K57" s="48">
        <f t="shared" ca="1" si="4"/>
        <v>0</v>
      </c>
      <c r="L57" s="48" t="str">
        <f t="shared" ca="1" si="3"/>
        <v>UT</v>
      </c>
      <c r="M57" s="48">
        <f t="shared" ca="1" si="5"/>
        <v>0</v>
      </c>
    </row>
    <row r="58" spans="2:13" ht="19.95" customHeight="1" x14ac:dyDescent="0.3">
      <c r="B58" s="21" t="s">
        <v>143</v>
      </c>
      <c r="C58" s="21" t="s">
        <v>49</v>
      </c>
      <c r="D58" s="41"/>
      <c r="E58" s="42"/>
      <c r="F58" s="43"/>
      <c r="G58" s="42"/>
      <c r="H58" s="43"/>
      <c r="I58" s="44"/>
      <c r="J58" s="21" t="str">
        <f t="shared" ca="1" si="2"/>
        <v>VT</v>
      </c>
      <c r="K58" s="41">
        <f t="shared" ca="1" si="4"/>
        <v>0</v>
      </c>
      <c r="L58" s="41" t="str">
        <f t="shared" ca="1" si="3"/>
        <v>VT</v>
      </c>
      <c r="M58" s="41">
        <f t="shared" ca="1" si="5"/>
        <v>0</v>
      </c>
    </row>
    <row r="59" spans="2:13" ht="19.95" customHeight="1" x14ac:dyDescent="0.3">
      <c r="B59" s="45" t="s">
        <v>142</v>
      </c>
      <c r="C59" s="46" t="s">
        <v>50</v>
      </c>
      <c r="D59" s="41"/>
      <c r="E59" s="105"/>
      <c r="F59" s="106"/>
      <c r="G59" s="105"/>
      <c r="H59" s="106"/>
      <c r="I59" s="44"/>
      <c r="J59" s="46" t="str">
        <f t="shared" ca="1" si="2"/>
        <v>VA</v>
      </c>
      <c r="K59" s="48">
        <f t="shared" ca="1" si="4"/>
        <v>0</v>
      </c>
      <c r="L59" s="48" t="str">
        <f t="shared" ca="1" si="3"/>
        <v>VA</v>
      </c>
      <c r="M59" s="48">
        <f t="shared" ca="1" si="5"/>
        <v>0</v>
      </c>
    </row>
    <row r="60" spans="2:13" ht="19.95" customHeight="1" x14ac:dyDescent="0.3">
      <c r="B60" s="21" t="s">
        <v>246</v>
      </c>
      <c r="C60" s="21" t="s">
        <v>219</v>
      </c>
      <c r="D60" s="41"/>
      <c r="E60" s="42"/>
      <c r="F60" s="43"/>
      <c r="G60" s="42"/>
      <c r="H60" s="43"/>
      <c r="I60" s="44"/>
      <c r="J60" s="21" t="str">
        <f t="shared" ca="1" si="2"/>
        <v>VA Sur</v>
      </c>
      <c r="K60" s="41">
        <f t="shared" ca="1" si="4"/>
        <v>0</v>
      </c>
      <c r="L60" s="41" t="str">
        <f t="shared" ca="1" si="3"/>
        <v>VA Sur</v>
      </c>
      <c r="M60" s="41">
        <f t="shared" ca="1" si="5"/>
        <v>0</v>
      </c>
    </row>
    <row r="61" spans="2:13" ht="19.95" customHeight="1" x14ac:dyDescent="0.3">
      <c r="B61" s="45" t="s">
        <v>144</v>
      </c>
      <c r="C61" s="46" t="s">
        <v>51</v>
      </c>
      <c r="D61" s="41"/>
      <c r="E61" s="105"/>
      <c r="F61" s="106"/>
      <c r="G61" s="105"/>
      <c r="H61" s="106"/>
      <c r="I61" s="44"/>
      <c r="J61" s="46" t="str">
        <f t="shared" ca="1" si="2"/>
        <v>WA</v>
      </c>
      <c r="K61" s="48">
        <f t="shared" ca="1" si="4"/>
        <v>0</v>
      </c>
      <c r="L61" s="48" t="str">
        <f t="shared" ca="1" si="3"/>
        <v>WA</v>
      </c>
      <c r="M61" s="48">
        <f t="shared" ca="1" si="5"/>
        <v>0</v>
      </c>
    </row>
    <row r="62" spans="2:13" ht="19.95" customHeight="1" x14ac:dyDescent="0.3">
      <c r="B62" s="21" t="s">
        <v>146</v>
      </c>
      <c r="C62" s="21" t="s">
        <v>53</v>
      </c>
      <c r="D62" s="41"/>
      <c r="E62" s="42"/>
      <c r="F62" s="43"/>
      <c r="G62" s="42"/>
      <c r="H62" s="43"/>
      <c r="I62" s="44"/>
      <c r="J62" s="21" t="str">
        <f t="shared" ca="1" si="2"/>
        <v>WV</v>
      </c>
      <c r="K62" s="41">
        <f t="shared" ca="1" si="4"/>
        <v>0</v>
      </c>
      <c r="L62" s="41" t="str">
        <f t="shared" ca="1" si="3"/>
        <v>WV</v>
      </c>
      <c r="M62" s="41">
        <f t="shared" ca="1" si="5"/>
        <v>0</v>
      </c>
    </row>
    <row r="63" spans="2:13" ht="19.95" customHeight="1" x14ac:dyDescent="0.3">
      <c r="B63" s="45" t="s">
        <v>145</v>
      </c>
      <c r="C63" s="46" t="s">
        <v>52</v>
      </c>
      <c r="D63" s="41"/>
      <c r="E63" s="105"/>
      <c r="F63" s="106"/>
      <c r="G63" s="105"/>
      <c r="H63" s="106"/>
      <c r="I63" s="44"/>
      <c r="J63" s="46" t="str">
        <f t="shared" ca="1" si="2"/>
        <v>WI</v>
      </c>
      <c r="K63" s="48">
        <f t="shared" ca="1" si="4"/>
        <v>0</v>
      </c>
      <c r="L63" s="48" t="str">
        <f t="shared" ca="1" si="3"/>
        <v>WI</v>
      </c>
      <c r="M63" s="48">
        <f t="shared" ca="1" si="5"/>
        <v>0</v>
      </c>
    </row>
    <row r="64" spans="2:13" ht="19.95" customHeight="1" x14ac:dyDescent="0.3">
      <c r="B64" s="21" t="s">
        <v>147</v>
      </c>
      <c r="C64" s="21" t="s">
        <v>54</v>
      </c>
      <c r="D64" s="41"/>
      <c r="E64" s="42"/>
      <c r="F64" s="43"/>
      <c r="G64" s="42"/>
      <c r="H64" s="43"/>
      <c r="I64" s="44"/>
      <c r="J64" s="21" t="str">
        <f t="shared" ca="1" si="2"/>
        <v>WY</v>
      </c>
      <c r="K64" s="41">
        <f t="shared" ca="1" si="4"/>
        <v>0</v>
      </c>
      <c r="L64" s="41" t="str">
        <f t="shared" ca="1" si="3"/>
        <v>WY</v>
      </c>
      <c r="M64" s="41">
        <f t="shared" ca="1" si="5"/>
        <v>0</v>
      </c>
    </row>
    <row r="65" spans="2:13" ht="19.95" customHeight="1" x14ac:dyDescent="0.3">
      <c r="B65" s="175" t="s">
        <v>220</v>
      </c>
      <c r="C65" s="175"/>
      <c r="D65" s="175"/>
      <c r="E65" s="175"/>
      <c r="F65" s="107">
        <f>SUM(F4:F64)</f>
        <v>520611.89</v>
      </c>
      <c r="G65" s="107"/>
      <c r="H65" s="107">
        <f>SUM(H4:H64)</f>
        <v>230569</v>
      </c>
      <c r="I65" s="47"/>
      <c r="J65" s="107"/>
      <c r="K65" s="107">
        <f ca="1">SUM(K4:K64)</f>
        <v>520612</v>
      </c>
      <c r="L65" s="107"/>
      <c r="M65" s="107">
        <f t="shared" ref="M65" ca="1" si="6">SUM(M4:M64)</f>
        <v>230569</v>
      </c>
    </row>
  </sheetData>
  <sheetProtection algorithmName="SHA-512" hashValue="LL04JbrxaR4OKoCvN09XWykBtse3eDJcCTohsF28UAf/BqhafnAiv8NNt6WYMLMBVApPZeQC/SDVZFGFk9Xa4Q==" saltValue="GeoCI2kV8LI0tVDl7oe3qw==" spinCount="100000" sheet="1" objects="1" scenarios="1"/>
  <mergeCells count="2">
    <mergeCell ref="B65:E65"/>
    <mergeCell ref="B2:D2"/>
  </mergeCells>
  <conditionalFormatting sqref="K40 M40">
    <cfRule type="cellIs" dxfId="3" priority="1" operator="greaterThan">
      <formula>0</formula>
    </cfRule>
  </conditionalFormatting>
  <dataValidations count="3">
    <dataValidation type="list" allowBlank="1" showInputMessage="1" showErrorMessage="1" sqref="M3 H3" xr:uid="{00000000-0002-0000-0500-000000000000}">
      <formula1>"Liters, Gallons"</formula1>
    </dataValidation>
    <dataValidation type="list" allowBlank="1" showInputMessage="1" showErrorMessage="1" sqref="F3 K3" xr:uid="{00000000-0002-0000-0500-000001000000}">
      <formula1>"KMs, Miles"</formula1>
    </dataValidation>
    <dataValidation type="list" allowBlank="1" showInputMessage="1" showErrorMessage="1" sqref="E3 G3" xr:uid="{00000000-0002-0000-0500-000002000000}">
      <formula1>"Abb., Comp."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132"/>
  <sheetViews>
    <sheetView showGridLines="0" topLeftCell="D11" workbookViewId="0">
      <selection activeCell="O23" sqref="O23"/>
    </sheetView>
  </sheetViews>
  <sheetFormatPr defaultColWidth="8.77734375" defaultRowHeight="14.4" x14ac:dyDescent="0.3"/>
  <cols>
    <col min="1" max="1" width="19.44140625" customWidth="1"/>
    <col min="2" max="2" width="6.44140625" bestFit="1" customWidth="1"/>
    <col min="3" max="3" width="10.77734375" customWidth="1"/>
    <col min="4" max="6" width="12.6640625" customWidth="1"/>
    <col min="7" max="7" width="5.77734375" customWidth="1"/>
    <col min="8" max="8" width="7.33203125" customWidth="1"/>
    <col min="9" max="9" width="9.6640625" bestFit="1" customWidth="1"/>
    <col min="10" max="10" width="12.6640625" customWidth="1"/>
    <col min="11" max="11" width="11.44140625" bestFit="1" customWidth="1"/>
    <col min="12" max="12" width="15.109375" customWidth="1"/>
    <col min="13" max="18" width="15.6640625" customWidth="1"/>
    <col min="19" max="19" width="14.33203125" customWidth="1"/>
  </cols>
  <sheetData>
    <row r="1" spans="1:19" ht="25.05" customHeight="1" thickBot="1" x14ac:dyDescent="0.35">
      <c r="A1" s="178" t="s">
        <v>253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</row>
    <row r="2" spans="1:19" x14ac:dyDescent="0.3">
      <c r="A2" s="177" t="s">
        <v>277</v>
      </c>
      <c r="B2" s="177"/>
      <c r="C2" s="177"/>
      <c r="D2" s="177"/>
      <c r="E2" s="177"/>
      <c r="F2" s="177"/>
      <c r="H2" s="177" t="s">
        <v>276</v>
      </c>
      <c r="I2" s="177"/>
      <c r="J2" s="177"/>
      <c r="K2" s="177"/>
    </row>
    <row r="3" spans="1:19" ht="28.8" x14ac:dyDescent="0.3">
      <c r="A3" s="55" t="s">
        <v>221</v>
      </c>
      <c r="B3" s="56" t="s">
        <v>212</v>
      </c>
      <c r="C3" s="57" t="s">
        <v>222</v>
      </c>
      <c r="D3" s="57" t="s">
        <v>223</v>
      </c>
      <c r="E3" s="58" t="s">
        <v>224</v>
      </c>
      <c r="F3" s="59" t="s">
        <v>254</v>
      </c>
      <c r="G3" s="60"/>
      <c r="H3" s="56" t="s">
        <v>212</v>
      </c>
      <c r="I3" s="57" t="s">
        <v>255</v>
      </c>
      <c r="J3" s="59" t="s">
        <v>256</v>
      </c>
      <c r="K3" s="59" t="s">
        <v>254</v>
      </c>
      <c r="L3" s="3"/>
      <c r="M3" s="3"/>
      <c r="N3" s="3"/>
      <c r="O3" s="3"/>
      <c r="P3" s="3"/>
      <c r="Q3" s="3"/>
      <c r="R3" s="3"/>
      <c r="S3" s="3"/>
    </row>
    <row r="4" spans="1:19" ht="19.95" customHeight="1" x14ac:dyDescent="0.3">
      <c r="A4" s="108" t="s">
        <v>91</v>
      </c>
      <c r="B4" s="109" t="s">
        <v>5</v>
      </c>
      <c r="C4" s="110">
        <f ca="1">VLOOKUP(B4,'Fuel and Mileage Auto Entries'!$J$4:$M$64,2,0)</f>
        <v>0</v>
      </c>
      <c r="D4" s="111">
        <f t="shared" ref="D4:D35" ca="1" si="0">IFERROR((IF(I4="CA",C4*$R$23,C4*$R$31)/$N$56),"")</f>
        <v>0</v>
      </c>
      <c r="E4" s="112">
        <f ca="1">IFERROR(ROUND(D4,0),"")</f>
        <v>0</v>
      </c>
      <c r="F4" s="113">
        <f t="shared" ref="F4:F35" ca="1" si="1">IFERROR(E4/$E$65,0)</f>
        <v>0</v>
      </c>
      <c r="G4" s="61"/>
      <c r="H4" s="62" t="s">
        <v>5</v>
      </c>
      <c r="I4" s="63" t="s">
        <v>257</v>
      </c>
      <c r="J4" s="64">
        <f t="shared" ref="J4:J35" ca="1" si="2">IFERROR(ROUND(IF(I4="US",E4,VLOOKUP(H4,$M$37:$R$46,6,0)),0),"")</f>
        <v>0</v>
      </c>
      <c r="K4" s="65">
        <f t="shared" ref="K4:K35" ca="1" si="3">IFERROR(J4/$J$65,0)</f>
        <v>0</v>
      </c>
      <c r="L4" s="3"/>
      <c r="M4" s="3"/>
      <c r="N4" s="3"/>
      <c r="O4" s="3"/>
      <c r="P4" s="3"/>
      <c r="Q4" s="3"/>
      <c r="R4" s="3"/>
      <c r="S4" s="3"/>
    </row>
    <row r="5" spans="1:19" ht="19.95" customHeight="1" x14ac:dyDescent="0.3">
      <c r="A5" s="66" t="s">
        <v>90</v>
      </c>
      <c r="B5" s="67" t="s">
        <v>4</v>
      </c>
      <c r="C5" s="68">
        <f ca="1">VLOOKUP(B5,'Fuel and Mileage Auto Entries'!$J$4:$M$64,2,0)</f>
        <v>0</v>
      </c>
      <c r="D5" s="69">
        <f t="shared" ca="1" si="0"/>
        <v>0</v>
      </c>
      <c r="E5" s="70">
        <f t="shared" ref="E5:E64" ca="1" si="4">IFERROR(ROUND(D5,0),"")</f>
        <v>0</v>
      </c>
      <c r="F5" s="71">
        <f t="shared" ca="1" si="1"/>
        <v>0</v>
      </c>
      <c r="G5" s="61"/>
      <c r="H5" s="67" t="s">
        <v>4</v>
      </c>
      <c r="I5" s="72" t="s">
        <v>9</v>
      </c>
      <c r="J5" s="70">
        <f t="shared" ca="1" si="2"/>
        <v>82225</v>
      </c>
      <c r="K5" s="71">
        <f t="shared" ca="1" si="3"/>
        <v>0.1610464444431387</v>
      </c>
      <c r="L5" s="73"/>
      <c r="M5" s="179" t="s">
        <v>242</v>
      </c>
      <c r="N5" s="179"/>
      <c r="O5" s="179"/>
      <c r="P5" s="179"/>
      <c r="Q5" s="179"/>
      <c r="R5" s="179"/>
      <c r="S5" s="179"/>
    </row>
    <row r="6" spans="1:19" ht="19.95" customHeight="1" x14ac:dyDescent="0.3">
      <c r="A6" s="108" t="s">
        <v>93</v>
      </c>
      <c r="B6" s="109" t="s">
        <v>7</v>
      </c>
      <c r="C6" s="110">
        <f ca="1">VLOOKUP(B6,'Fuel and Mileage Auto Entries'!$J$4:$M$64,2,0)</f>
        <v>0</v>
      </c>
      <c r="D6" s="111">
        <f t="shared" ca="1" si="0"/>
        <v>0</v>
      </c>
      <c r="E6" s="112">
        <f t="shared" ca="1" si="4"/>
        <v>0</v>
      </c>
      <c r="F6" s="113">
        <f t="shared" ca="1" si="1"/>
        <v>0</v>
      </c>
      <c r="G6" s="61"/>
      <c r="H6" s="62" t="s">
        <v>7</v>
      </c>
      <c r="I6" s="63" t="s">
        <v>257</v>
      </c>
      <c r="J6" s="64">
        <f t="shared" ca="1" si="2"/>
        <v>0</v>
      </c>
      <c r="K6" s="65">
        <f t="shared" ca="1" si="3"/>
        <v>0</v>
      </c>
      <c r="L6" s="73"/>
      <c r="M6" s="179"/>
      <c r="N6" s="179"/>
      <c r="O6" s="179"/>
      <c r="P6" s="179"/>
      <c r="Q6" s="179"/>
      <c r="R6" s="179"/>
      <c r="S6" s="179"/>
    </row>
    <row r="7" spans="1:19" ht="19.95" customHeight="1" x14ac:dyDescent="0.3">
      <c r="A7" s="66" t="s">
        <v>92</v>
      </c>
      <c r="B7" s="67" t="s">
        <v>6</v>
      </c>
      <c r="C7" s="68">
        <f ca="1">VLOOKUP(B7,'Fuel and Mileage Auto Entries'!$J$4:$M$64,2,0)</f>
        <v>0</v>
      </c>
      <c r="D7" s="69">
        <f t="shared" ca="1" si="0"/>
        <v>0</v>
      </c>
      <c r="E7" s="70">
        <f t="shared" ca="1" si="4"/>
        <v>0</v>
      </c>
      <c r="F7" s="71">
        <f t="shared" ca="1" si="1"/>
        <v>0</v>
      </c>
      <c r="G7" s="61"/>
      <c r="H7" s="67" t="s">
        <v>6</v>
      </c>
      <c r="I7" s="72" t="s">
        <v>257</v>
      </c>
      <c r="J7" s="70">
        <f t="shared" ca="1" si="2"/>
        <v>0</v>
      </c>
      <c r="K7" s="71">
        <f t="shared" ca="1" si="3"/>
        <v>0</v>
      </c>
      <c r="L7" s="74"/>
      <c r="M7" s="180" t="s">
        <v>226</v>
      </c>
      <c r="N7" s="180"/>
      <c r="O7" s="180" t="s">
        <v>227</v>
      </c>
      <c r="P7" s="180"/>
      <c r="Q7" s="75"/>
      <c r="R7" s="75"/>
      <c r="S7" s="3"/>
    </row>
    <row r="8" spans="1:19" ht="19.95" customHeight="1" x14ac:dyDescent="0.3">
      <c r="A8" s="108" t="s">
        <v>94</v>
      </c>
      <c r="B8" s="109" t="s">
        <v>8</v>
      </c>
      <c r="C8" s="110">
        <f ca="1">VLOOKUP(B8,'Fuel and Mileage Auto Entries'!$J$4:$M$64,2,0)</f>
        <v>0</v>
      </c>
      <c r="D8" s="111">
        <f t="shared" ca="1" si="0"/>
        <v>0</v>
      </c>
      <c r="E8" s="112">
        <f t="shared" ca="1" si="4"/>
        <v>0</v>
      </c>
      <c r="F8" s="113">
        <f t="shared" ca="1" si="1"/>
        <v>0</v>
      </c>
      <c r="G8" s="61"/>
      <c r="H8" s="62" t="s">
        <v>8</v>
      </c>
      <c r="I8" s="63" t="s">
        <v>9</v>
      </c>
      <c r="J8" s="64">
        <f t="shared" ca="1" si="2"/>
        <v>2260</v>
      </c>
      <c r="K8" s="65">
        <f t="shared" ca="1" si="3"/>
        <v>4.4264513766067923E-3</v>
      </c>
      <c r="L8" s="74"/>
      <c r="M8" s="181"/>
      <c r="N8" s="181"/>
      <c r="O8" s="181"/>
      <c r="P8" s="181"/>
      <c r="Q8" s="75"/>
      <c r="R8" s="75"/>
      <c r="S8" s="3"/>
    </row>
    <row r="9" spans="1:19" ht="19.95" customHeight="1" x14ac:dyDescent="0.3">
      <c r="A9" s="66" t="s">
        <v>95</v>
      </c>
      <c r="B9" s="67" t="s">
        <v>9</v>
      </c>
      <c r="C9" s="68">
        <f ca="1">VLOOKUP(B9,'Fuel and Mileage Auto Entries'!$J$4:$M$64,2,0)</f>
        <v>0</v>
      </c>
      <c r="D9" s="69">
        <f t="shared" ca="1" si="0"/>
        <v>0</v>
      </c>
      <c r="E9" s="70">
        <f t="shared" ca="1" si="4"/>
        <v>0</v>
      </c>
      <c r="F9" s="71">
        <f t="shared" ca="1" si="1"/>
        <v>0</v>
      </c>
      <c r="G9" s="61"/>
      <c r="H9" s="67" t="s">
        <v>9</v>
      </c>
      <c r="I9" s="72" t="s">
        <v>257</v>
      </c>
      <c r="J9" s="70">
        <f t="shared" ca="1" si="2"/>
        <v>0</v>
      </c>
      <c r="K9" s="71">
        <f t="shared" ca="1" si="3"/>
        <v>0</v>
      </c>
      <c r="L9" s="76"/>
      <c r="M9" s="77"/>
      <c r="N9" s="77"/>
      <c r="O9" s="77"/>
      <c r="P9" s="77"/>
      <c r="Q9" s="78"/>
      <c r="R9" s="78"/>
      <c r="S9" s="3"/>
    </row>
    <row r="10" spans="1:19" ht="19.95" customHeight="1" x14ac:dyDescent="0.3">
      <c r="A10" s="108" t="s">
        <v>96</v>
      </c>
      <c r="B10" s="109" t="s">
        <v>10</v>
      </c>
      <c r="C10" s="110">
        <f ca="1">VLOOKUP(B10,'Fuel and Mileage Auto Entries'!$J$4:$M$64,2,0)</f>
        <v>0</v>
      </c>
      <c r="D10" s="111">
        <f t="shared" ca="1" si="0"/>
        <v>0</v>
      </c>
      <c r="E10" s="112">
        <f t="shared" ca="1" si="4"/>
        <v>0</v>
      </c>
      <c r="F10" s="113">
        <f t="shared" ca="1" si="1"/>
        <v>0</v>
      </c>
      <c r="G10" s="61"/>
      <c r="H10" s="62" t="s">
        <v>10</v>
      </c>
      <c r="I10" s="63" t="s">
        <v>257</v>
      </c>
      <c r="J10" s="64">
        <f t="shared" ca="1" si="2"/>
        <v>0</v>
      </c>
      <c r="K10" s="65">
        <f t="shared" ca="1" si="3"/>
        <v>0</v>
      </c>
      <c r="L10" s="3"/>
      <c r="M10" s="182">
        <f ca="1">SUMIF($I$4:$I$64,"CA",C4:C64)</f>
        <v>425548</v>
      </c>
      <c r="N10" s="182"/>
      <c r="O10" s="182">
        <f ca="1">SUMIF($I$4:$I$64,"CA",D4:D64)</f>
        <v>225956.08895999996</v>
      </c>
      <c r="P10" s="182"/>
      <c r="Q10" s="79"/>
      <c r="R10" s="79"/>
      <c r="S10" s="3"/>
    </row>
    <row r="11" spans="1:19" ht="19.95" customHeight="1" x14ac:dyDescent="0.3">
      <c r="A11" s="66" t="s">
        <v>97</v>
      </c>
      <c r="B11" s="67" t="s">
        <v>11</v>
      </c>
      <c r="C11" s="68">
        <f ca="1">VLOOKUP(B11,'Fuel and Mileage Auto Entries'!$J$4:$M$64,2,0)</f>
        <v>0</v>
      </c>
      <c r="D11" s="69">
        <f t="shared" ca="1" si="0"/>
        <v>0</v>
      </c>
      <c r="E11" s="70">
        <f t="shared" ca="1" si="4"/>
        <v>0</v>
      </c>
      <c r="F11" s="71">
        <f t="shared" ca="1" si="1"/>
        <v>0</v>
      </c>
      <c r="G11" s="61"/>
      <c r="H11" s="67" t="s">
        <v>11</v>
      </c>
      <c r="I11" s="72" t="s">
        <v>257</v>
      </c>
      <c r="J11" s="70">
        <f t="shared" ca="1" si="2"/>
        <v>0</v>
      </c>
      <c r="K11" s="71">
        <f t="shared" ca="1" si="3"/>
        <v>0</v>
      </c>
      <c r="L11" s="74"/>
      <c r="M11" s="3"/>
      <c r="N11" s="3"/>
      <c r="O11" s="3"/>
      <c r="P11" s="3"/>
      <c r="Q11" s="3"/>
      <c r="R11" s="3"/>
      <c r="S11" s="3"/>
    </row>
    <row r="12" spans="1:19" ht="19.95" customHeight="1" x14ac:dyDescent="0.3">
      <c r="A12" s="108" t="s">
        <v>98</v>
      </c>
      <c r="B12" s="109" t="s">
        <v>12</v>
      </c>
      <c r="C12" s="110">
        <f ca="1">VLOOKUP(B12,'Fuel and Mileage Auto Entries'!$J$4:$M$64,2,0)</f>
        <v>0</v>
      </c>
      <c r="D12" s="111">
        <f t="shared" ca="1" si="0"/>
        <v>0</v>
      </c>
      <c r="E12" s="112">
        <f t="shared" ca="1" si="4"/>
        <v>0</v>
      </c>
      <c r="F12" s="113">
        <f t="shared" ca="1" si="1"/>
        <v>0</v>
      </c>
      <c r="G12" s="61"/>
      <c r="H12" s="62" t="s">
        <v>12</v>
      </c>
      <c r="I12" s="63" t="s">
        <v>257</v>
      </c>
      <c r="J12" s="64">
        <f t="shared" ca="1" si="2"/>
        <v>0</v>
      </c>
      <c r="K12" s="65">
        <f t="shared" ca="1" si="3"/>
        <v>0</v>
      </c>
      <c r="L12" s="74"/>
      <c r="M12" s="180" t="s">
        <v>234</v>
      </c>
      <c r="N12" s="180"/>
      <c r="O12" s="180" t="s">
        <v>235</v>
      </c>
      <c r="P12" s="180"/>
      <c r="Q12" s="75"/>
      <c r="R12" s="75"/>
      <c r="S12" s="3"/>
    </row>
    <row r="13" spans="1:19" ht="19.95" customHeight="1" x14ac:dyDescent="0.3">
      <c r="A13" s="66" t="s">
        <v>99</v>
      </c>
      <c r="B13" s="67" t="s">
        <v>13</v>
      </c>
      <c r="C13" s="68">
        <f ca="1">VLOOKUP(B13,'Fuel and Mileage Auto Entries'!$J$4:$M$64,2,0)</f>
        <v>0</v>
      </c>
      <c r="D13" s="69">
        <f t="shared" ca="1" si="0"/>
        <v>0</v>
      </c>
      <c r="E13" s="70">
        <f t="shared" ca="1" si="4"/>
        <v>0</v>
      </c>
      <c r="F13" s="71">
        <f t="shared" ca="1" si="1"/>
        <v>0</v>
      </c>
      <c r="G13" s="61"/>
      <c r="H13" s="67" t="s">
        <v>13</v>
      </c>
      <c r="I13" s="72" t="s">
        <v>257</v>
      </c>
      <c r="J13" s="70">
        <f t="shared" ca="1" si="2"/>
        <v>0</v>
      </c>
      <c r="K13" s="71">
        <f t="shared" ca="1" si="3"/>
        <v>0</v>
      </c>
      <c r="L13" s="80"/>
      <c r="M13" s="181"/>
      <c r="N13" s="181"/>
      <c r="O13" s="181"/>
      <c r="P13" s="181"/>
      <c r="Q13" s="75"/>
      <c r="R13" s="75"/>
      <c r="S13" s="3"/>
    </row>
    <row r="14" spans="1:19" ht="19.95" customHeight="1" x14ac:dyDescent="0.3">
      <c r="A14" s="108" t="s">
        <v>100</v>
      </c>
      <c r="B14" s="109" t="s">
        <v>14</v>
      </c>
      <c r="C14" s="110">
        <f ca="1">VLOOKUP(B14,'Fuel and Mileage Auto Entries'!$J$4:$M$64,2,0)</f>
        <v>0</v>
      </c>
      <c r="D14" s="111">
        <f t="shared" ca="1" si="0"/>
        <v>0</v>
      </c>
      <c r="E14" s="112">
        <f t="shared" ca="1" si="4"/>
        <v>0</v>
      </c>
      <c r="F14" s="113">
        <f t="shared" ca="1" si="1"/>
        <v>0</v>
      </c>
      <c r="G14" s="61"/>
      <c r="H14" s="62" t="s">
        <v>14</v>
      </c>
      <c r="I14" s="63" t="s">
        <v>257</v>
      </c>
      <c r="J14" s="64">
        <f t="shared" ca="1" si="2"/>
        <v>0</v>
      </c>
      <c r="K14" s="65">
        <f t="shared" ca="1" si="3"/>
        <v>0</v>
      </c>
      <c r="L14" s="54"/>
      <c r="M14" s="49"/>
      <c r="N14" s="78"/>
      <c r="O14" s="49"/>
      <c r="P14" s="78"/>
      <c r="Q14" s="81"/>
      <c r="R14" s="81"/>
      <c r="S14" s="3"/>
    </row>
    <row r="15" spans="1:19" ht="19.95" customHeight="1" x14ac:dyDescent="0.3">
      <c r="A15" s="66" t="s">
        <v>102</v>
      </c>
      <c r="B15" s="67" t="s">
        <v>16</v>
      </c>
      <c r="C15" s="68">
        <f ca="1">VLOOKUP(B15,'Fuel and Mileage Auto Entries'!$J$4:$M$64,2,0)</f>
        <v>0</v>
      </c>
      <c r="D15" s="69">
        <f t="shared" ca="1" si="0"/>
        <v>0</v>
      </c>
      <c r="E15" s="70">
        <f t="shared" ca="1" si="4"/>
        <v>0</v>
      </c>
      <c r="F15" s="71">
        <f t="shared" ca="1" si="1"/>
        <v>0</v>
      </c>
      <c r="G15" s="61"/>
      <c r="H15" s="67" t="s">
        <v>16</v>
      </c>
      <c r="I15" s="72" t="s">
        <v>257</v>
      </c>
      <c r="J15" s="70">
        <f t="shared" ca="1" si="2"/>
        <v>0</v>
      </c>
      <c r="K15" s="71">
        <f t="shared" ca="1" si="3"/>
        <v>0</v>
      </c>
      <c r="L15" s="3"/>
      <c r="M15" s="183">
        <f ca="1">C65-M10</f>
        <v>95064</v>
      </c>
      <c r="N15" s="183"/>
      <c r="O15" s="184">
        <f ca="1">D65-O10</f>
        <v>284609.91103999998</v>
      </c>
      <c r="P15" s="184"/>
      <c r="Q15" s="54"/>
      <c r="R15" s="54"/>
      <c r="S15" s="3"/>
    </row>
    <row r="16" spans="1:19" ht="19.95" customHeight="1" x14ac:dyDescent="0.3">
      <c r="A16" s="108" t="s">
        <v>103</v>
      </c>
      <c r="B16" s="109" t="s">
        <v>17</v>
      </c>
      <c r="C16" s="110">
        <f ca="1">VLOOKUP(B16,'Fuel and Mileage Auto Entries'!$J$4:$M$64,2,0)</f>
        <v>0</v>
      </c>
      <c r="D16" s="111">
        <f t="shared" ca="1" si="0"/>
        <v>0</v>
      </c>
      <c r="E16" s="112">
        <f t="shared" ca="1" si="4"/>
        <v>0</v>
      </c>
      <c r="F16" s="113">
        <f t="shared" ca="1" si="1"/>
        <v>0</v>
      </c>
      <c r="G16" s="61"/>
      <c r="H16" s="62" t="s">
        <v>17</v>
      </c>
      <c r="I16" s="63" t="s">
        <v>257</v>
      </c>
      <c r="J16" s="64">
        <f t="shared" ca="1" si="2"/>
        <v>0</v>
      </c>
      <c r="K16" s="65">
        <f t="shared" ca="1" si="3"/>
        <v>0</v>
      </c>
      <c r="L16" s="82"/>
      <c r="M16" s="3"/>
      <c r="N16" s="3"/>
      <c r="O16" s="3"/>
      <c r="P16" s="3"/>
      <c r="Q16" s="3"/>
      <c r="R16" s="3"/>
      <c r="S16" s="3"/>
    </row>
    <row r="17" spans="1:19" ht="19.95" customHeight="1" x14ac:dyDescent="0.3">
      <c r="A17" s="66" t="s">
        <v>104</v>
      </c>
      <c r="B17" s="67" t="s">
        <v>18</v>
      </c>
      <c r="C17" s="68">
        <f ca="1">VLOOKUP(B17,'Fuel and Mileage Auto Entries'!$J$4:$M$64,2,0)</f>
        <v>0</v>
      </c>
      <c r="D17" s="69">
        <f t="shared" ca="1" si="0"/>
        <v>0</v>
      </c>
      <c r="E17" s="70">
        <f t="shared" ca="1" si="4"/>
        <v>0</v>
      </c>
      <c r="F17" s="71">
        <f t="shared" ca="1" si="1"/>
        <v>0</v>
      </c>
      <c r="G17" s="61"/>
      <c r="H17" s="67" t="s">
        <v>18</v>
      </c>
      <c r="I17" s="72" t="s">
        <v>257</v>
      </c>
      <c r="J17" s="70">
        <f t="shared" ca="1" si="2"/>
        <v>0</v>
      </c>
      <c r="K17" s="71">
        <f t="shared" ca="1" si="3"/>
        <v>0</v>
      </c>
      <c r="L17" s="83"/>
      <c r="M17" s="179" t="s">
        <v>225</v>
      </c>
      <c r="N17" s="179"/>
      <c r="O17" s="179"/>
      <c r="P17" s="179"/>
      <c r="Q17" s="179"/>
      <c r="R17" s="179"/>
      <c r="S17" s="179"/>
    </row>
    <row r="18" spans="1:19" ht="19.95" customHeight="1" x14ac:dyDescent="0.3">
      <c r="A18" s="108" t="s">
        <v>104</v>
      </c>
      <c r="B18" s="109" t="s">
        <v>217</v>
      </c>
      <c r="C18" s="110">
        <f ca="1">VLOOKUP(B18,'Fuel and Mileage Auto Entries'!$J$4:$M$64,2,0)</f>
        <v>0</v>
      </c>
      <c r="D18" s="111">
        <f t="shared" ca="1" si="0"/>
        <v>0</v>
      </c>
      <c r="E18" s="112">
        <f t="shared" ca="1" si="4"/>
        <v>0</v>
      </c>
      <c r="F18" s="113">
        <f t="shared" ca="1" si="1"/>
        <v>0</v>
      </c>
      <c r="G18" s="61"/>
      <c r="H18" s="62" t="s">
        <v>18</v>
      </c>
      <c r="I18" s="63" t="s">
        <v>257</v>
      </c>
      <c r="J18" s="64">
        <f t="shared" ca="1" si="2"/>
        <v>0</v>
      </c>
      <c r="K18" s="65">
        <f t="shared" ca="1" si="3"/>
        <v>0</v>
      </c>
      <c r="L18" s="83"/>
      <c r="M18" s="179"/>
      <c r="N18" s="179"/>
      <c r="O18" s="179"/>
      <c r="P18" s="179"/>
      <c r="Q18" s="179"/>
      <c r="R18" s="179"/>
      <c r="S18" s="179"/>
    </row>
    <row r="19" spans="1:19" ht="19.95" customHeight="1" x14ac:dyDescent="0.3">
      <c r="A19" s="66" t="s">
        <v>101</v>
      </c>
      <c r="B19" s="67" t="s">
        <v>15</v>
      </c>
      <c r="C19" s="68">
        <f ca="1">VLOOKUP(B19,'Fuel and Mileage Auto Entries'!$J$4:$M$64,2,0)</f>
        <v>0</v>
      </c>
      <c r="D19" s="69">
        <f t="shared" ca="1" si="0"/>
        <v>0</v>
      </c>
      <c r="E19" s="70">
        <f t="shared" ca="1" si="4"/>
        <v>0</v>
      </c>
      <c r="F19" s="71">
        <f t="shared" ca="1" si="1"/>
        <v>0</v>
      </c>
      <c r="G19" s="61"/>
      <c r="H19" s="67" t="s">
        <v>15</v>
      </c>
      <c r="I19" s="72" t="s">
        <v>257</v>
      </c>
      <c r="J19" s="70">
        <f t="shared" ca="1" si="2"/>
        <v>0</v>
      </c>
      <c r="K19" s="71">
        <f t="shared" ca="1" si="3"/>
        <v>0</v>
      </c>
      <c r="L19" s="3"/>
      <c r="M19" s="185" t="s">
        <v>228</v>
      </c>
      <c r="N19" s="185" t="s">
        <v>229</v>
      </c>
      <c r="O19" s="185" t="s">
        <v>230</v>
      </c>
      <c r="P19" s="185" t="s">
        <v>231</v>
      </c>
      <c r="Q19" s="185" t="s">
        <v>232</v>
      </c>
      <c r="R19" s="185" t="s">
        <v>233</v>
      </c>
    </row>
    <row r="20" spans="1:19" ht="19.95" customHeight="1" x14ac:dyDescent="0.3">
      <c r="A20" s="108" t="s">
        <v>105</v>
      </c>
      <c r="B20" s="109" t="s">
        <v>19</v>
      </c>
      <c r="C20" s="110">
        <f ca="1">VLOOKUP(B20,'Fuel and Mileage Auto Entries'!$J$4:$M$64,2,0)</f>
        <v>0</v>
      </c>
      <c r="D20" s="111">
        <f t="shared" ca="1" si="0"/>
        <v>0</v>
      </c>
      <c r="E20" s="112">
        <f t="shared" ca="1" si="4"/>
        <v>0</v>
      </c>
      <c r="F20" s="113">
        <f t="shared" ca="1" si="1"/>
        <v>0</v>
      </c>
      <c r="G20" s="61"/>
      <c r="H20" s="62" t="s">
        <v>19</v>
      </c>
      <c r="I20" s="63" t="s">
        <v>257</v>
      </c>
      <c r="J20" s="64">
        <f t="shared" ca="1" si="2"/>
        <v>0</v>
      </c>
      <c r="K20" s="65">
        <f t="shared" ca="1" si="3"/>
        <v>0</v>
      </c>
      <c r="L20" s="3"/>
      <c r="M20" s="185"/>
      <c r="N20" s="185"/>
      <c r="O20" s="185"/>
      <c r="P20" s="185"/>
      <c r="Q20" s="185"/>
      <c r="R20" s="185"/>
    </row>
    <row r="21" spans="1:19" ht="19.95" customHeight="1" x14ac:dyDescent="0.3">
      <c r="A21" s="66" t="s">
        <v>106</v>
      </c>
      <c r="B21" s="67" t="s">
        <v>20</v>
      </c>
      <c r="C21" s="68">
        <f ca="1">VLOOKUP(B21,'Fuel and Mileage Auto Entries'!$J$4:$M$64,2,0)</f>
        <v>0</v>
      </c>
      <c r="D21" s="69">
        <f t="shared" ca="1" si="0"/>
        <v>0</v>
      </c>
      <c r="E21" s="70">
        <f t="shared" ca="1" si="4"/>
        <v>0</v>
      </c>
      <c r="F21" s="71">
        <f t="shared" ca="1" si="1"/>
        <v>0</v>
      </c>
      <c r="G21" s="61"/>
      <c r="H21" s="67" t="s">
        <v>20</v>
      </c>
      <c r="I21" s="72" t="s">
        <v>257</v>
      </c>
      <c r="J21" s="70">
        <f t="shared" ca="1" si="2"/>
        <v>0</v>
      </c>
      <c r="K21" s="71">
        <f t="shared" ca="1" si="3"/>
        <v>0</v>
      </c>
      <c r="L21" s="51"/>
      <c r="M21" s="185"/>
      <c r="N21" s="185"/>
      <c r="O21" s="185"/>
      <c r="P21" s="185"/>
      <c r="Q21" s="185"/>
      <c r="R21" s="185"/>
    </row>
    <row r="22" spans="1:19" ht="19.95" customHeight="1" x14ac:dyDescent="0.3">
      <c r="A22" s="108" t="s">
        <v>106</v>
      </c>
      <c r="B22" s="109" t="s">
        <v>218</v>
      </c>
      <c r="C22" s="110">
        <f ca="1">VLOOKUP(B22,'Fuel and Mileage Auto Entries'!$J$4:$M$64,2,0)</f>
        <v>0</v>
      </c>
      <c r="D22" s="111">
        <f t="shared" ca="1" si="0"/>
        <v>0</v>
      </c>
      <c r="E22" s="112">
        <f t="shared" ca="1" si="4"/>
        <v>0</v>
      </c>
      <c r="F22" s="113">
        <f t="shared" ca="1" si="1"/>
        <v>0</v>
      </c>
      <c r="G22" s="61"/>
      <c r="H22" s="62" t="s">
        <v>20</v>
      </c>
      <c r="I22" s="63" t="s">
        <v>257</v>
      </c>
      <c r="J22" s="64">
        <f t="shared" ca="1" si="2"/>
        <v>0</v>
      </c>
      <c r="K22" s="65">
        <f t="shared" ca="1" si="3"/>
        <v>0</v>
      </c>
      <c r="L22" s="52"/>
      <c r="M22" s="50"/>
      <c r="N22" s="50"/>
      <c r="O22" s="50"/>
      <c r="P22" s="50"/>
      <c r="Q22" s="50"/>
      <c r="R22" s="50"/>
    </row>
    <row r="23" spans="1:19" ht="19.95" customHeight="1" x14ac:dyDescent="0.3">
      <c r="A23" s="66" t="s">
        <v>107</v>
      </c>
      <c r="B23" s="67" t="s">
        <v>21</v>
      </c>
      <c r="C23" s="68">
        <f ca="1">VLOOKUP(B23,'Fuel and Mileage Auto Entries'!$J$4:$M$64,2,0)</f>
        <v>0</v>
      </c>
      <c r="D23" s="69">
        <f t="shared" ca="1" si="0"/>
        <v>0</v>
      </c>
      <c r="E23" s="70">
        <f t="shared" ca="1" si="4"/>
        <v>0</v>
      </c>
      <c r="F23" s="71">
        <f t="shared" ca="1" si="1"/>
        <v>0</v>
      </c>
      <c r="G23" s="61"/>
      <c r="H23" s="67" t="s">
        <v>21</v>
      </c>
      <c r="I23" s="72" t="s">
        <v>257</v>
      </c>
      <c r="J23" s="70">
        <f t="shared" ca="1" si="2"/>
        <v>0</v>
      </c>
      <c r="K23" s="71">
        <f t="shared" ca="1" si="3"/>
        <v>0</v>
      </c>
      <c r="L23" s="82"/>
      <c r="M23" s="51">
        <f ca="1">C65</f>
        <v>520612</v>
      </c>
      <c r="N23" s="51">
        <f ca="1">M10</f>
        <v>425548</v>
      </c>
      <c r="O23" s="84">
        <f ca="1">IFERROR((N23*100)/M23,0)</f>
        <v>81.739952210091204</v>
      </c>
      <c r="P23" s="85">
        <v>44.256</v>
      </c>
      <c r="Q23" s="86">
        <f ca="1">(M23*P23)/100</f>
        <v>230402.04671999998</v>
      </c>
      <c r="R23" s="84">
        <f ca="1">IFERROR(P23/O23,0)</f>
        <v>0.54142434395179861</v>
      </c>
      <c r="S23" s="52"/>
    </row>
    <row r="24" spans="1:19" ht="19.95" customHeight="1" x14ac:dyDescent="0.3">
      <c r="A24" s="108" t="s">
        <v>111</v>
      </c>
      <c r="B24" s="109" t="s">
        <v>23</v>
      </c>
      <c r="C24" s="110">
        <f ca="1">VLOOKUP(B24,'Fuel and Mileage Auto Entries'!$J$4:$M$64,2,0)</f>
        <v>0</v>
      </c>
      <c r="D24" s="111">
        <f t="shared" ca="1" si="0"/>
        <v>0</v>
      </c>
      <c r="E24" s="112">
        <f t="shared" ca="1" si="4"/>
        <v>0</v>
      </c>
      <c r="F24" s="113">
        <f t="shared" ca="1" si="1"/>
        <v>0</v>
      </c>
      <c r="G24" s="61"/>
      <c r="H24" s="62" t="s">
        <v>23</v>
      </c>
      <c r="I24" s="63" t="s">
        <v>257</v>
      </c>
      <c r="J24" s="64">
        <f t="shared" ca="1" si="2"/>
        <v>0</v>
      </c>
      <c r="K24" s="65">
        <f t="shared" ca="1" si="3"/>
        <v>0</v>
      </c>
      <c r="L24" s="83"/>
      <c r="M24" s="52"/>
      <c r="N24" s="52"/>
      <c r="O24" s="52"/>
      <c r="P24" s="52"/>
      <c r="Q24" s="52"/>
      <c r="R24" s="52"/>
      <c r="S24" s="52"/>
    </row>
    <row r="25" spans="1:19" ht="19.95" customHeight="1" x14ac:dyDescent="0.3">
      <c r="A25" s="66" t="s">
        <v>109</v>
      </c>
      <c r="B25" s="67" t="s">
        <v>22</v>
      </c>
      <c r="C25" s="68">
        <f ca="1">VLOOKUP(B25,'Fuel and Mileage Auto Entries'!$J$4:$M$64,2,0)</f>
        <v>0</v>
      </c>
      <c r="D25" s="69">
        <f t="shared" ca="1" si="0"/>
        <v>0</v>
      </c>
      <c r="E25" s="70">
        <f t="shared" ca="1" si="4"/>
        <v>0</v>
      </c>
      <c r="F25" s="71">
        <f t="shared" ca="1" si="1"/>
        <v>0</v>
      </c>
      <c r="G25" s="61"/>
      <c r="H25" s="67" t="s">
        <v>22</v>
      </c>
      <c r="I25" s="72" t="s">
        <v>9</v>
      </c>
      <c r="J25" s="70">
        <f t="shared" ca="1" si="2"/>
        <v>28290</v>
      </c>
      <c r="K25" s="71">
        <f t="shared" ca="1" si="3"/>
        <v>5.5408986479737236E-2</v>
      </c>
      <c r="L25" s="83"/>
      <c r="M25" s="179" t="s">
        <v>236</v>
      </c>
      <c r="N25" s="179"/>
      <c r="O25" s="179"/>
      <c r="P25" s="179"/>
      <c r="Q25" s="179"/>
      <c r="R25" s="179"/>
      <c r="S25" s="179"/>
    </row>
    <row r="26" spans="1:19" ht="19.95" customHeight="1" x14ac:dyDescent="0.3">
      <c r="A26" s="108" t="s">
        <v>110</v>
      </c>
      <c r="B26" s="109" t="s">
        <v>24</v>
      </c>
      <c r="C26" s="110">
        <f ca="1">VLOOKUP(B26,'Fuel and Mileage Auto Entries'!$J$4:$M$64,2,0)</f>
        <v>0</v>
      </c>
      <c r="D26" s="111">
        <f t="shared" ca="1" si="0"/>
        <v>0</v>
      </c>
      <c r="E26" s="112">
        <f t="shared" ca="1" si="4"/>
        <v>0</v>
      </c>
      <c r="F26" s="113">
        <f t="shared" ca="1" si="1"/>
        <v>0</v>
      </c>
      <c r="G26" s="61"/>
      <c r="H26" s="62" t="s">
        <v>24</v>
      </c>
      <c r="I26" s="63" t="s">
        <v>257</v>
      </c>
      <c r="J26" s="64">
        <f t="shared" ca="1" si="2"/>
        <v>0</v>
      </c>
      <c r="K26" s="65">
        <f t="shared" ca="1" si="3"/>
        <v>0</v>
      </c>
      <c r="L26" s="87"/>
      <c r="M26" s="179"/>
      <c r="N26" s="179"/>
      <c r="O26" s="179"/>
      <c r="P26" s="179"/>
      <c r="Q26" s="179"/>
      <c r="R26" s="179"/>
      <c r="S26" s="179"/>
    </row>
    <row r="27" spans="1:19" ht="19.95" customHeight="1" x14ac:dyDescent="0.3">
      <c r="A27" s="66" t="s">
        <v>108</v>
      </c>
      <c r="B27" s="67" t="s">
        <v>25</v>
      </c>
      <c r="C27" s="68">
        <f ca="1">VLOOKUP(B27,'Fuel and Mileage Auto Entries'!$J$4:$M$64,2,0)</f>
        <v>0</v>
      </c>
      <c r="D27" s="69">
        <f t="shared" ca="1" si="0"/>
        <v>0</v>
      </c>
      <c r="E27" s="70">
        <f t="shared" ca="1" si="4"/>
        <v>0</v>
      </c>
      <c r="F27" s="71">
        <f t="shared" ca="1" si="1"/>
        <v>0</v>
      </c>
      <c r="G27" s="61"/>
      <c r="H27" s="67" t="s">
        <v>25</v>
      </c>
      <c r="I27" s="72" t="s">
        <v>257</v>
      </c>
      <c r="J27" s="70">
        <f t="shared" ca="1" si="2"/>
        <v>0</v>
      </c>
      <c r="K27" s="71">
        <f t="shared" ca="1" si="3"/>
        <v>0</v>
      </c>
      <c r="L27" s="51"/>
      <c r="M27" s="185" t="s">
        <v>228</v>
      </c>
      <c r="N27" s="185" t="s">
        <v>237</v>
      </c>
      <c r="O27" s="186" t="s">
        <v>230</v>
      </c>
      <c r="P27" s="186" t="s">
        <v>231</v>
      </c>
      <c r="Q27" s="185" t="s">
        <v>238</v>
      </c>
      <c r="R27" s="185" t="s">
        <v>239</v>
      </c>
    </row>
    <row r="28" spans="1:19" ht="19.95" customHeight="1" x14ac:dyDescent="0.3">
      <c r="A28" s="108" t="s">
        <v>112</v>
      </c>
      <c r="B28" s="109" t="s">
        <v>26</v>
      </c>
      <c r="C28" s="110">
        <f ca="1">VLOOKUP(B28,'Fuel and Mileage Auto Entries'!$J$4:$M$64,2,0)</f>
        <v>95064</v>
      </c>
      <c r="D28" s="111">
        <f t="shared" ca="1" si="0"/>
        <v>284609.91103999998</v>
      </c>
      <c r="E28" s="112">
        <f t="shared" ca="1" si="4"/>
        <v>284610</v>
      </c>
      <c r="F28" s="113">
        <f t="shared" ca="1" si="1"/>
        <v>0.55744017423800252</v>
      </c>
      <c r="G28" s="61"/>
      <c r="H28" s="62" t="s">
        <v>26</v>
      </c>
      <c r="I28" s="63" t="s">
        <v>257</v>
      </c>
      <c r="J28" s="64">
        <f t="shared" ca="1" si="2"/>
        <v>284610</v>
      </c>
      <c r="K28" s="65">
        <f t="shared" ca="1" si="3"/>
        <v>0.55743908243188456</v>
      </c>
      <c r="L28" s="3"/>
      <c r="M28" s="185"/>
      <c r="N28" s="185"/>
      <c r="O28" s="186"/>
      <c r="P28" s="186"/>
      <c r="Q28" s="185"/>
      <c r="R28" s="185"/>
    </row>
    <row r="29" spans="1:19" ht="19.95" customHeight="1" x14ac:dyDescent="0.3">
      <c r="A29" s="66" t="s">
        <v>113</v>
      </c>
      <c r="B29" s="67" t="s">
        <v>27</v>
      </c>
      <c r="C29" s="68">
        <f ca="1">VLOOKUP(B29,'Fuel and Mileage Auto Entries'!$J$4:$M$64,2,0)</f>
        <v>0</v>
      </c>
      <c r="D29" s="69">
        <f t="shared" ca="1" si="0"/>
        <v>0</v>
      </c>
      <c r="E29" s="70">
        <f t="shared" ca="1" si="4"/>
        <v>0</v>
      </c>
      <c r="F29" s="71">
        <f t="shared" ca="1" si="1"/>
        <v>0</v>
      </c>
      <c r="G29" s="61"/>
      <c r="H29" s="67" t="s">
        <v>27</v>
      </c>
      <c r="I29" s="72" t="s">
        <v>257</v>
      </c>
      <c r="J29" s="70">
        <f t="shared" ca="1" si="2"/>
        <v>0</v>
      </c>
      <c r="K29" s="71">
        <f t="shared" ca="1" si="3"/>
        <v>0</v>
      </c>
      <c r="L29" s="3"/>
      <c r="M29" s="87"/>
      <c r="N29" s="187" t="s">
        <v>240</v>
      </c>
      <c r="O29" s="87"/>
      <c r="P29" s="87"/>
      <c r="Q29" s="87"/>
      <c r="R29" s="87"/>
    </row>
    <row r="30" spans="1:19" ht="19.95" customHeight="1" x14ac:dyDescent="0.3">
      <c r="A30" s="108" t="s">
        <v>115</v>
      </c>
      <c r="B30" s="109" t="s">
        <v>28</v>
      </c>
      <c r="C30" s="110">
        <f ca="1">VLOOKUP(B30,'Fuel and Mileage Auto Entries'!$J$4:$M$64,2,0)</f>
        <v>0</v>
      </c>
      <c r="D30" s="111">
        <f t="shared" ca="1" si="0"/>
        <v>0</v>
      </c>
      <c r="E30" s="112">
        <f t="shared" ca="1" si="4"/>
        <v>0</v>
      </c>
      <c r="F30" s="113">
        <f t="shared" ca="1" si="1"/>
        <v>0</v>
      </c>
      <c r="G30" s="61"/>
      <c r="H30" s="62" t="s">
        <v>28</v>
      </c>
      <c r="I30" s="63" t="s">
        <v>257</v>
      </c>
      <c r="J30" s="64">
        <f t="shared" ca="1" si="2"/>
        <v>0</v>
      </c>
      <c r="K30" s="65">
        <f t="shared" ca="1" si="3"/>
        <v>0</v>
      </c>
      <c r="L30" s="3"/>
      <c r="M30" s="53"/>
      <c r="N30" s="188"/>
      <c r="O30" s="53"/>
      <c r="P30" s="53"/>
      <c r="Q30" s="53"/>
      <c r="R30" s="53"/>
      <c r="S30" s="3"/>
    </row>
    <row r="31" spans="1:19" ht="19.95" customHeight="1" x14ac:dyDescent="0.3">
      <c r="A31" s="66" t="s">
        <v>114</v>
      </c>
      <c r="B31" s="67" t="s">
        <v>29</v>
      </c>
      <c r="C31" s="68">
        <f ca="1">VLOOKUP(B31,'Fuel and Mileage Auto Entries'!$J$4:$M$64,2,0)</f>
        <v>0</v>
      </c>
      <c r="D31" s="69">
        <f t="shared" ca="1" si="0"/>
        <v>0</v>
      </c>
      <c r="E31" s="70">
        <f t="shared" ca="1" si="4"/>
        <v>0</v>
      </c>
      <c r="F31" s="71">
        <f t="shared" ca="1" si="1"/>
        <v>0</v>
      </c>
      <c r="G31" s="61"/>
      <c r="H31" s="67" t="s">
        <v>29</v>
      </c>
      <c r="I31" s="72" t="s">
        <v>257</v>
      </c>
      <c r="J31" s="70">
        <f t="shared" ca="1" si="2"/>
        <v>0</v>
      </c>
      <c r="K31" s="71">
        <f t="shared" ca="1" si="3"/>
        <v>0</v>
      </c>
      <c r="L31" s="3"/>
      <c r="M31" s="51">
        <f ca="1">C65</f>
        <v>520612</v>
      </c>
      <c r="N31" s="51">
        <f ca="1">M31-N23</f>
        <v>95064</v>
      </c>
      <c r="O31" s="84">
        <f ca="1">IFERROR((N31*100)/M31,0)</f>
        <v>18.2600477899088</v>
      </c>
      <c r="P31" s="88">
        <f>100-P23</f>
        <v>55.744</v>
      </c>
      <c r="Q31" s="51">
        <f ca="1">(M31*P31)/100</f>
        <v>290209.95328000002</v>
      </c>
      <c r="R31" s="84">
        <f ca="1">IFERROR(P31/O31,0)</f>
        <v>3.0527850004207693</v>
      </c>
      <c r="S31" s="3"/>
    </row>
    <row r="32" spans="1:19" ht="19.95" customHeight="1" x14ac:dyDescent="0.3">
      <c r="A32" s="108" t="s">
        <v>116</v>
      </c>
      <c r="B32" s="109" t="s">
        <v>30</v>
      </c>
      <c r="C32" s="110">
        <f ca="1">VLOOKUP(B32,'Fuel and Mileage Auto Entries'!$J$4:$M$64,2,0)</f>
        <v>0</v>
      </c>
      <c r="D32" s="111">
        <f t="shared" ca="1" si="0"/>
        <v>0</v>
      </c>
      <c r="E32" s="112">
        <f t="shared" ca="1" si="4"/>
        <v>0</v>
      </c>
      <c r="F32" s="113">
        <f t="shared" ca="1" si="1"/>
        <v>0</v>
      </c>
      <c r="G32" s="61"/>
      <c r="H32" s="62" t="s">
        <v>30</v>
      </c>
      <c r="I32" s="63" t="s">
        <v>257</v>
      </c>
      <c r="J32" s="64">
        <f t="shared" ca="1" si="2"/>
        <v>0</v>
      </c>
      <c r="K32" s="65">
        <f t="shared" ca="1" si="3"/>
        <v>0</v>
      </c>
      <c r="L32" s="3"/>
      <c r="M32" s="3"/>
      <c r="N32" s="3"/>
      <c r="O32" s="3"/>
      <c r="P32" s="3"/>
      <c r="Q32" s="3"/>
      <c r="R32" s="3"/>
      <c r="S32" s="3"/>
    </row>
    <row r="33" spans="1:19" ht="19.95" customHeight="1" x14ac:dyDescent="0.3">
      <c r="A33" s="66" t="s">
        <v>120</v>
      </c>
      <c r="B33" s="67" t="s">
        <v>31</v>
      </c>
      <c r="C33" s="68">
        <f ca="1">VLOOKUP(B33,'Fuel and Mileage Auto Entries'!$J$4:$M$64,2,0)</f>
        <v>0</v>
      </c>
      <c r="D33" s="69">
        <f t="shared" ca="1" si="0"/>
        <v>0</v>
      </c>
      <c r="E33" s="70">
        <f t="shared" ca="1" si="4"/>
        <v>0</v>
      </c>
      <c r="F33" s="71">
        <f t="shared" ca="1" si="1"/>
        <v>0</v>
      </c>
      <c r="G33" s="61"/>
      <c r="H33" s="67" t="s">
        <v>31</v>
      </c>
      <c r="I33" s="72" t="s">
        <v>257</v>
      </c>
      <c r="J33" s="70">
        <f t="shared" ca="1" si="2"/>
        <v>0</v>
      </c>
      <c r="K33" s="71">
        <f t="shared" ca="1" si="3"/>
        <v>0</v>
      </c>
      <c r="L33" s="3"/>
      <c r="M33" s="179" t="s">
        <v>258</v>
      </c>
      <c r="N33" s="179"/>
      <c r="O33" s="179"/>
      <c r="P33" s="179"/>
      <c r="Q33" s="179"/>
      <c r="R33" s="179"/>
      <c r="S33" s="179"/>
    </row>
    <row r="34" spans="1:19" ht="19.95" customHeight="1" x14ac:dyDescent="0.3">
      <c r="A34" s="108" t="s">
        <v>126</v>
      </c>
      <c r="B34" s="109" t="s">
        <v>32</v>
      </c>
      <c r="C34" s="110">
        <f ca="1">VLOOKUP(B34,'Fuel and Mileage Auto Entries'!$J$4:$M$64,2,0)</f>
        <v>0</v>
      </c>
      <c r="D34" s="111">
        <f t="shared" ca="1" si="0"/>
        <v>0</v>
      </c>
      <c r="E34" s="112">
        <f t="shared" ca="1" si="4"/>
        <v>0</v>
      </c>
      <c r="F34" s="113">
        <f t="shared" ca="1" si="1"/>
        <v>0</v>
      </c>
      <c r="G34" s="61"/>
      <c r="H34" s="62" t="s">
        <v>32</v>
      </c>
      <c r="I34" s="63" t="s">
        <v>257</v>
      </c>
      <c r="J34" s="64">
        <f t="shared" ca="1" si="2"/>
        <v>0</v>
      </c>
      <c r="K34" s="65">
        <f t="shared" ca="1" si="3"/>
        <v>0</v>
      </c>
      <c r="L34" s="3"/>
      <c r="M34" s="179"/>
      <c r="N34" s="179"/>
      <c r="O34" s="179"/>
      <c r="P34" s="179"/>
      <c r="Q34" s="179"/>
      <c r="R34" s="179"/>
      <c r="S34" s="179"/>
    </row>
    <row r="35" spans="1:19" ht="19.95" customHeight="1" x14ac:dyDescent="0.3">
      <c r="A35" s="66" t="s">
        <v>117</v>
      </c>
      <c r="B35" s="67" t="s">
        <v>55</v>
      </c>
      <c r="C35" s="68">
        <f ca="1">VLOOKUP(B35,'Fuel and Mileage Auto Entries'!$J$4:$M$64,2,0)</f>
        <v>0</v>
      </c>
      <c r="D35" s="69">
        <f t="shared" ca="1" si="0"/>
        <v>0</v>
      </c>
      <c r="E35" s="70">
        <f t="shared" ca="1" si="4"/>
        <v>0</v>
      </c>
      <c r="F35" s="71">
        <f t="shared" ca="1" si="1"/>
        <v>0</v>
      </c>
      <c r="G35" s="61"/>
      <c r="H35" s="67" t="s">
        <v>55</v>
      </c>
      <c r="I35" s="72" t="s">
        <v>9</v>
      </c>
      <c r="J35" s="70">
        <f t="shared" ca="1" si="2"/>
        <v>2827</v>
      </c>
      <c r="K35" s="71">
        <f t="shared" ca="1" si="3"/>
        <v>5.5369814343661063E-3</v>
      </c>
      <c r="L35" s="3"/>
      <c r="M35" s="189" t="s">
        <v>259</v>
      </c>
      <c r="N35" s="189" t="s">
        <v>213</v>
      </c>
      <c r="O35" s="189" t="s">
        <v>260</v>
      </c>
      <c r="P35" s="189" t="s">
        <v>261</v>
      </c>
      <c r="Q35" s="189" t="s">
        <v>262</v>
      </c>
      <c r="R35" s="189" t="s">
        <v>263</v>
      </c>
      <c r="S35" s="3"/>
    </row>
    <row r="36" spans="1:19" ht="19.95" customHeight="1" x14ac:dyDescent="0.3">
      <c r="A36" s="108" t="s">
        <v>122</v>
      </c>
      <c r="B36" s="109" t="s">
        <v>33</v>
      </c>
      <c r="C36" s="110">
        <f ca="1">VLOOKUP(B36,'Fuel and Mileage Auto Entries'!$J$4:$M$64,2,0)</f>
        <v>0</v>
      </c>
      <c r="D36" s="111">
        <f t="shared" ref="D36:D64" ca="1" si="5">IFERROR((IF(I36="CA",C36*$R$23,C36*$R$31)/$N$56),"")</f>
        <v>0</v>
      </c>
      <c r="E36" s="112">
        <f t="shared" ca="1" si="4"/>
        <v>0</v>
      </c>
      <c r="F36" s="113">
        <f t="shared" ref="F36:F64" ca="1" si="6">IFERROR(E36/$E$65,0)</f>
        <v>0</v>
      </c>
      <c r="G36" s="61"/>
      <c r="H36" s="62" t="s">
        <v>33</v>
      </c>
      <c r="I36" s="63" t="s">
        <v>257</v>
      </c>
      <c r="J36" s="64">
        <f t="shared" ref="J36:J64" ca="1" si="7">IFERROR(ROUND(IF(I36="US",E36,VLOOKUP(H36,$M$37:$R$46,6,0)),0),"")</f>
        <v>0</v>
      </c>
      <c r="K36" s="65">
        <f t="shared" ref="K36:K64" ca="1" si="8">IFERROR(J36/$J$65,0)</f>
        <v>0</v>
      </c>
      <c r="L36" s="3"/>
      <c r="M36" s="189"/>
      <c r="N36" s="189"/>
      <c r="O36" s="189"/>
      <c r="P36" s="189"/>
      <c r="Q36" s="189"/>
      <c r="R36" s="189"/>
      <c r="S36" s="3"/>
    </row>
    <row r="37" spans="1:19" ht="19.95" customHeight="1" x14ac:dyDescent="0.3">
      <c r="A37" s="66" t="s">
        <v>123</v>
      </c>
      <c r="B37" s="67" t="s">
        <v>34</v>
      </c>
      <c r="C37" s="68">
        <f ca="1">VLOOKUP(B37,'Fuel and Mileage Auto Entries'!$J$4:$M$64,2,0)</f>
        <v>0</v>
      </c>
      <c r="D37" s="69">
        <f t="shared" ca="1" si="5"/>
        <v>0</v>
      </c>
      <c r="E37" s="70">
        <f t="shared" ca="1" si="4"/>
        <v>0</v>
      </c>
      <c r="F37" s="71">
        <f t="shared" ca="1" si="6"/>
        <v>0</v>
      </c>
      <c r="G37" s="61"/>
      <c r="H37" s="67" t="s">
        <v>34</v>
      </c>
      <c r="I37" s="72" t="s">
        <v>257</v>
      </c>
      <c r="J37" s="70">
        <f t="shared" ca="1" si="7"/>
        <v>0</v>
      </c>
      <c r="K37" s="71">
        <f t="shared" ca="1" si="8"/>
        <v>0</v>
      </c>
      <c r="L37" s="3"/>
      <c r="M37" s="89" t="s">
        <v>4</v>
      </c>
      <c r="N37" s="90">
        <f t="shared" ref="N37:N46" ca="1" si="9">VLOOKUP(M37,$B$4:$D$64,3,0)</f>
        <v>0</v>
      </c>
      <c r="O37" s="120">
        <f ca="1">ROUND(IFERROR((N37*100)/$N$47,0),2)</f>
        <v>0</v>
      </c>
      <c r="P37" s="121">
        <v>36.39</v>
      </c>
      <c r="Q37" s="91">
        <f ca="1">IFERROR(P37/O37,0)</f>
        <v>0</v>
      </c>
      <c r="R37" s="90">
        <f t="shared" ref="R37:R46" ca="1" si="10">IFERROR(($N$47*P37)/100,0)</f>
        <v>82225.420772543992</v>
      </c>
      <c r="S37" s="3"/>
    </row>
    <row r="38" spans="1:19" ht="19.95" customHeight="1" x14ac:dyDescent="0.3">
      <c r="A38" s="108" t="s">
        <v>124</v>
      </c>
      <c r="B38" s="109" t="s">
        <v>36</v>
      </c>
      <c r="C38" s="110">
        <f ca="1">VLOOKUP(B38,'Fuel and Mileage Auto Entries'!$J$4:$M$64,2,0)</f>
        <v>0</v>
      </c>
      <c r="D38" s="111">
        <f t="shared" ca="1" si="5"/>
        <v>0</v>
      </c>
      <c r="E38" s="112">
        <f t="shared" ca="1" si="4"/>
        <v>0</v>
      </c>
      <c r="F38" s="113">
        <f t="shared" ca="1" si="6"/>
        <v>0</v>
      </c>
      <c r="G38" s="61"/>
      <c r="H38" s="62" t="s">
        <v>36</v>
      </c>
      <c r="I38" s="63" t="s">
        <v>257</v>
      </c>
      <c r="J38" s="64">
        <f t="shared" ca="1" si="7"/>
        <v>0</v>
      </c>
      <c r="K38" s="65">
        <f t="shared" ca="1" si="8"/>
        <v>0</v>
      </c>
      <c r="L38" s="3"/>
      <c r="M38" s="92" t="s">
        <v>8</v>
      </c>
      <c r="N38" s="93">
        <f t="shared" ca="1" si="9"/>
        <v>0</v>
      </c>
      <c r="O38" s="122">
        <f t="shared" ref="O38:O46" ca="1" si="11">ROUND(IFERROR((N38*100)/$N$47,0),2)</f>
        <v>0</v>
      </c>
      <c r="P38" s="123">
        <v>1</v>
      </c>
      <c r="Q38" s="94">
        <f t="shared" ref="Q38:Q46" ca="1" si="12">IFERROR(P38/O38,0)</f>
        <v>0</v>
      </c>
      <c r="R38" s="93">
        <f t="shared" ca="1" si="10"/>
        <v>2259.5608895999994</v>
      </c>
      <c r="S38" s="3"/>
    </row>
    <row r="39" spans="1:19" ht="19.95" customHeight="1" x14ac:dyDescent="0.3">
      <c r="A39" s="66" t="s">
        <v>127</v>
      </c>
      <c r="B39" s="67" t="s">
        <v>35</v>
      </c>
      <c r="C39" s="68">
        <f ca="1">VLOOKUP(B39,'Fuel and Mileage Auto Entries'!$J$4:$M$64,2,0)</f>
        <v>0</v>
      </c>
      <c r="D39" s="69">
        <f t="shared" ca="1" si="5"/>
        <v>0</v>
      </c>
      <c r="E39" s="70">
        <f t="shared" ca="1" si="4"/>
        <v>0</v>
      </c>
      <c r="F39" s="71">
        <f t="shared" ca="1" si="6"/>
        <v>0</v>
      </c>
      <c r="G39" s="61"/>
      <c r="H39" s="67" t="s">
        <v>35</v>
      </c>
      <c r="I39" s="72" t="s">
        <v>257</v>
      </c>
      <c r="J39" s="70">
        <f t="shared" ca="1" si="7"/>
        <v>0</v>
      </c>
      <c r="K39" s="71">
        <f t="shared" ca="1" si="8"/>
        <v>0</v>
      </c>
      <c r="L39" s="3"/>
      <c r="M39" s="89" t="s">
        <v>22</v>
      </c>
      <c r="N39" s="90">
        <f t="shared" ca="1" si="9"/>
        <v>0</v>
      </c>
      <c r="O39" s="120">
        <f t="shared" ca="1" si="11"/>
        <v>0</v>
      </c>
      <c r="P39" s="121">
        <v>12.52</v>
      </c>
      <c r="Q39" s="91">
        <f t="shared" ca="1" si="12"/>
        <v>0</v>
      </c>
      <c r="R39" s="90">
        <f t="shared" ca="1" si="10"/>
        <v>28289.702337791994</v>
      </c>
      <c r="S39" s="3"/>
    </row>
    <row r="40" spans="1:19" ht="19.95" customHeight="1" x14ac:dyDescent="0.3">
      <c r="A40" s="108" t="s">
        <v>121</v>
      </c>
      <c r="B40" s="109" t="s">
        <v>56</v>
      </c>
      <c r="C40" s="110">
        <f ca="1">VLOOKUP(B40,'Fuel and Mileage Auto Entries'!$J$4:$M$64,2,0)</f>
        <v>0</v>
      </c>
      <c r="D40" s="111">
        <f t="shared" ca="1" si="5"/>
        <v>0</v>
      </c>
      <c r="E40" s="112">
        <f t="shared" ca="1" si="4"/>
        <v>0</v>
      </c>
      <c r="F40" s="113">
        <f t="shared" ca="1" si="6"/>
        <v>0</v>
      </c>
      <c r="G40" s="61"/>
      <c r="H40" s="62" t="s">
        <v>56</v>
      </c>
      <c r="I40" s="63" t="s">
        <v>9</v>
      </c>
      <c r="J40" s="64">
        <f t="shared" ca="1" si="7"/>
        <v>0</v>
      </c>
      <c r="K40" s="65">
        <f t="shared" ca="1" si="8"/>
        <v>0</v>
      </c>
      <c r="L40" s="3"/>
      <c r="M40" s="92" t="s">
        <v>55</v>
      </c>
      <c r="N40" s="93">
        <f t="shared" ca="1" si="9"/>
        <v>0</v>
      </c>
      <c r="O40" s="122">
        <f t="shared" ca="1" si="11"/>
        <v>0</v>
      </c>
      <c r="P40" s="123">
        <v>1.2509999999999999</v>
      </c>
      <c r="Q40" s="94">
        <f t="shared" ca="1" si="12"/>
        <v>0</v>
      </c>
      <c r="R40" s="93">
        <f t="shared" ca="1" si="10"/>
        <v>2826.7106728895992</v>
      </c>
      <c r="S40" s="3"/>
    </row>
    <row r="41" spans="1:19" ht="19.95" customHeight="1" x14ac:dyDescent="0.3">
      <c r="A41" s="66" t="s">
        <v>118</v>
      </c>
      <c r="B41" s="67" t="s">
        <v>37</v>
      </c>
      <c r="C41" s="68">
        <f ca="1">VLOOKUP(B41,'Fuel and Mileage Auto Entries'!$J$4:$M$64,2,0)</f>
        <v>0</v>
      </c>
      <c r="D41" s="69">
        <f t="shared" ca="1" si="5"/>
        <v>0</v>
      </c>
      <c r="E41" s="70">
        <f t="shared" ca="1" si="4"/>
        <v>0</v>
      </c>
      <c r="F41" s="71">
        <f t="shared" ca="1" si="6"/>
        <v>0</v>
      </c>
      <c r="G41" s="61"/>
      <c r="H41" s="67" t="s">
        <v>37</v>
      </c>
      <c r="I41" s="72" t="s">
        <v>257</v>
      </c>
      <c r="J41" s="70">
        <f t="shared" ca="1" si="7"/>
        <v>0</v>
      </c>
      <c r="K41" s="71">
        <f t="shared" ca="1" si="8"/>
        <v>0</v>
      </c>
      <c r="L41" s="3"/>
      <c r="M41" s="89" t="s">
        <v>56</v>
      </c>
      <c r="N41" s="90">
        <f t="shared" ca="1" si="9"/>
        <v>0</v>
      </c>
      <c r="O41" s="120">
        <f t="shared" ca="1" si="11"/>
        <v>0</v>
      </c>
      <c r="P41" s="121">
        <v>0</v>
      </c>
      <c r="Q41" s="91">
        <f t="shared" ref="Q41" ca="1" si="13">IFERROR(P41/O41,0)</f>
        <v>0</v>
      </c>
      <c r="R41" s="90">
        <f t="shared" ca="1" si="10"/>
        <v>0</v>
      </c>
      <c r="S41" s="3"/>
    </row>
    <row r="42" spans="1:19" ht="19.95" customHeight="1" x14ac:dyDescent="0.3">
      <c r="A42" s="108" t="s">
        <v>119</v>
      </c>
      <c r="B42" s="109" t="s">
        <v>38</v>
      </c>
      <c r="C42" s="110">
        <f ca="1">VLOOKUP(B42,'Fuel and Mileage Auto Entries'!$J$4:$M$64,2,0)</f>
        <v>0</v>
      </c>
      <c r="D42" s="111">
        <f t="shared" ca="1" si="5"/>
        <v>0</v>
      </c>
      <c r="E42" s="112">
        <f t="shared" ca="1" si="4"/>
        <v>0</v>
      </c>
      <c r="F42" s="113">
        <f t="shared" ca="1" si="6"/>
        <v>0</v>
      </c>
      <c r="G42" s="61"/>
      <c r="H42" s="62" t="s">
        <v>38</v>
      </c>
      <c r="I42" s="63" t="s">
        <v>257</v>
      </c>
      <c r="J42" s="64">
        <f t="shared" ca="1" si="7"/>
        <v>0</v>
      </c>
      <c r="K42" s="65">
        <f t="shared" ca="1" si="8"/>
        <v>0</v>
      </c>
      <c r="L42" s="3"/>
      <c r="M42" s="92" t="s">
        <v>57</v>
      </c>
      <c r="N42" s="93">
        <f t="shared" ca="1" si="9"/>
        <v>0</v>
      </c>
      <c r="O42" s="122">
        <f t="shared" ca="1" si="11"/>
        <v>0</v>
      </c>
      <c r="P42" s="123">
        <v>0</v>
      </c>
      <c r="Q42" s="94">
        <f t="shared" ca="1" si="12"/>
        <v>0</v>
      </c>
      <c r="R42" s="93">
        <f t="shared" ca="1" si="10"/>
        <v>0</v>
      </c>
      <c r="S42" s="3"/>
    </row>
    <row r="43" spans="1:19" ht="19.95" customHeight="1" x14ac:dyDescent="0.3">
      <c r="A43" s="66" t="s">
        <v>125</v>
      </c>
      <c r="B43" s="67" t="s">
        <v>57</v>
      </c>
      <c r="C43" s="68">
        <f ca="1">VLOOKUP(B43,'Fuel and Mileage Auto Entries'!$J$4:$M$64,2,0)</f>
        <v>0</v>
      </c>
      <c r="D43" s="69">
        <f t="shared" ca="1" si="5"/>
        <v>0</v>
      </c>
      <c r="E43" s="70">
        <f t="shared" ca="1" si="4"/>
        <v>0</v>
      </c>
      <c r="F43" s="71">
        <f t="shared" ca="1" si="6"/>
        <v>0</v>
      </c>
      <c r="G43" s="61"/>
      <c r="H43" s="67" t="s">
        <v>57</v>
      </c>
      <c r="I43" s="72" t="s">
        <v>9</v>
      </c>
      <c r="J43" s="70">
        <f t="shared" ca="1" si="7"/>
        <v>0</v>
      </c>
      <c r="K43" s="71">
        <f t="shared" ca="1" si="8"/>
        <v>0</v>
      </c>
      <c r="L43" s="3"/>
      <c r="M43" s="89" t="s">
        <v>58</v>
      </c>
      <c r="N43" s="90">
        <f t="shared" ca="1" si="9"/>
        <v>225956.08895999996</v>
      </c>
      <c r="O43" s="120">
        <f t="shared" ca="1" si="11"/>
        <v>100</v>
      </c>
      <c r="P43" s="121">
        <v>33.851999999999997</v>
      </c>
      <c r="Q43" s="91">
        <f t="shared" ca="1" si="12"/>
        <v>0.33851999999999999</v>
      </c>
      <c r="R43" s="90">
        <f t="shared" ca="1" si="10"/>
        <v>76490.655234739184</v>
      </c>
      <c r="S43" s="3"/>
    </row>
    <row r="44" spans="1:19" ht="19.95" customHeight="1" x14ac:dyDescent="0.3">
      <c r="A44" s="108" t="s">
        <v>128</v>
      </c>
      <c r="B44" s="109" t="s">
        <v>39</v>
      </c>
      <c r="C44" s="110">
        <f ca="1">VLOOKUP(B44,'Fuel and Mileage Auto Entries'!$J$4:$M$64,2,0)</f>
        <v>0</v>
      </c>
      <c r="D44" s="111">
        <f t="shared" ca="1" si="5"/>
        <v>0</v>
      </c>
      <c r="E44" s="112">
        <f t="shared" ca="1" si="4"/>
        <v>0</v>
      </c>
      <c r="F44" s="113">
        <f t="shared" ca="1" si="6"/>
        <v>0</v>
      </c>
      <c r="G44" s="61"/>
      <c r="H44" s="62" t="s">
        <v>39</v>
      </c>
      <c r="I44" s="63" t="s">
        <v>257</v>
      </c>
      <c r="J44" s="64">
        <f t="shared" ca="1" si="7"/>
        <v>0</v>
      </c>
      <c r="K44" s="65">
        <f t="shared" ca="1" si="8"/>
        <v>0</v>
      </c>
      <c r="L44" s="3"/>
      <c r="M44" s="92" t="s">
        <v>59</v>
      </c>
      <c r="N44" s="93">
        <f t="shared" ca="1" si="9"/>
        <v>0</v>
      </c>
      <c r="O44" s="122">
        <f t="shared" ca="1" si="11"/>
        <v>0</v>
      </c>
      <c r="P44" s="123">
        <v>0</v>
      </c>
      <c r="Q44" s="94">
        <f t="shared" ca="1" si="12"/>
        <v>0</v>
      </c>
      <c r="R44" s="93">
        <f t="shared" ca="1" si="10"/>
        <v>0</v>
      </c>
      <c r="S44" s="3"/>
    </row>
    <row r="45" spans="1:19" ht="19.95" customHeight="1" x14ac:dyDescent="0.3">
      <c r="A45" s="66" t="s">
        <v>129</v>
      </c>
      <c r="B45" s="67" t="s">
        <v>40</v>
      </c>
      <c r="C45" s="68">
        <f ca="1">VLOOKUP(B45,'Fuel and Mileage Auto Entries'!$J$4:$M$64,2,0)</f>
        <v>0</v>
      </c>
      <c r="D45" s="69">
        <f t="shared" ca="1" si="5"/>
        <v>0</v>
      </c>
      <c r="E45" s="70">
        <f t="shared" ca="1" si="4"/>
        <v>0</v>
      </c>
      <c r="F45" s="71">
        <f t="shared" ca="1" si="6"/>
        <v>0</v>
      </c>
      <c r="G45" s="61"/>
      <c r="H45" s="67" t="s">
        <v>40</v>
      </c>
      <c r="I45" s="72" t="s">
        <v>257</v>
      </c>
      <c r="J45" s="70">
        <f t="shared" ca="1" si="7"/>
        <v>0</v>
      </c>
      <c r="K45" s="71">
        <f t="shared" ca="1" si="8"/>
        <v>0</v>
      </c>
      <c r="L45" s="3"/>
      <c r="M45" s="89" t="s">
        <v>60</v>
      </c>
      <c r="N45" s="90">
        <f t="shared" ca="1" si="9"/>
        <v>0</v>
      </c>
      <c r="O45" s="120">
        <f t="shared" ca="1" si="11"/>
        <v>0</v>
      </c>
      <c r="P45" s="121">
        <v>7.39</v>
      </c>
      <c r="Q45" s="91">
        <f t="shared" ca="1" si="12"/>
        <v>0</v>
      </c>
      <c r="R45" s="90">
        <f t="shared" ca="1" si="10"/>
        <v>16698.154974143996</v>
      </c>
      <c r="S45" s="3"/>
    </row>
    <row r="46" spans="1:19" ht="19.95" customHeight="1" x14ac:dyDescent="0.3">
      <c r="A46" s="108" t="s">
        <v>130</v>
      </c>
      <c r="B46" s="109" t="s">
        <v>58</v>
      </c>
      <c r="C46" s="110">
        <f ca="1">VLOOKUP(B46,'Fuel and Mileage Auto Entries'!$J$4:$M$64,2,0)</f>
        <v>425548</v>
      </c>
      <c r="D46" s="111">
        <f t="shared" ca="1" si="5"/>
        <v>225956.08895999996</v>
      </c>
      <c r="E46" s="112">
        <f t="shared" ca="1" si="4"/>
        <v>225956</v>
      </c>
      <c r="F46" s="113">
        <f t="shared" ca="1" si="6"/>
        <v>0.44255982576199748</v>
      </c>
      <c r="G46" s="61"/>
      <c r="H46" s="62" t="s">
        <v>58</v>
      </c>
      <c r="I46" s="63" t="s">
        <v>9</v>
      </c>
      <c r="J46" s="64">
        <f t="shared" ca="1" si="7"/>
        <v>76491</v>
      </c>
      <c r="K46" s="65">
        <f t="shared" ca="1" si="8"/>
        <v>0.14981579303010184</v>
      </c>
      <c r="L46" s="3"/>
      <c r="M46" s="92" t="s">
        <v>61</v>
      </c>
      <c r="N46" s="93">
        <f t="shared" ca="1" si="9"/>
        <v>0</v>
      </c>
      <c r="O46" s="122">
        <f t="shared" ca="1" si="11"/>
        <v>0</v>
      </c>
      <c r="P46" s="123">
        <v>7.5970000000000004</v>
      </c>
      <c r="Q46" s="94">
        <f t="shared" ca="1" si="12"/>
        <v>0</v>
      </c>
      <c r="R46" s="93">
        <f t="shared" ca="1" si="10"/>
        <v>17165.884078291198</v>
      </c>
      <c r="S46" s="3"/>
    </row>
    <row r="47" spans="1:19" ht="19.95" customHeight="1" x14ac:dyDescent="0.3">
      <c r="A47" s="66" t="s">
        <v>131</v>
      </c>
      <c r="B47" s="67" t="s">
        <v>41</v>
      </c>
      <c r="C47" s="68">
        <f ca="1">VLOOKUP(B47,'Fuel and Mileage Auto Entries'!$J$4:$M$64,2,0)</f>
        <v>0</v>
      </c>
      <c r="D47" s="69">
        <f t="shared" ca="1" si="5"/>
        <v>0</v>
      </c>
      <c r="E47" s="70">
        <f t="shared" ca="1" si="4"/>
        <v>0</v>
      </c>
      <c r="F47" s="71">
        <f t="shared" ca="1" si="6"/>
        <v>0</v>
      </c>
      <c r="G47" s="61"/>
      <c r="H47" s="67" t="s">
        <v>41</v>
      </c>
      <c r="I47" s="72" t="s">
        <v>257</v>
      </c>
      <c r="J47" s="70">
        <f t="shared" ca="1" si="7"/>
        <v>0</v>
      </c>
      <c r="K47" s="71">
        <f t="shared" ca="1" si="8"/>
        <v>0</v>
      </c>
      <c r="L47" s="3"/>
      <c r="M47" s="95" t="s">
        <v>264</v>
      </c>
      <c r="N47" s="96">
        <f ca="1">SUM(N37:N46)</f>
        <v>225956.08895999996</v>
      </c>
      <c r="O47" s="124">
        <f ca="1">SUM(O37:O46)</f>
        <v>100</v>
      </c>
      <c r="P47" s="125">
        <f>SUM(P37:P46)</f>
        <v>99.999999999999986</v>
      </c>
      <c r="Q47" s="97">
        <f ca="1">SUM(Q37:Q46)</f>
        <v>0.33851999999999999</v>
      </c>
      <c r="R47" s="96">
        <f ca="1">SUM(R37:R46)</f>
        <v>225956.08895999996</v>
      </c>
      <c r="S47" s="3"/>
    </row>
    <row r="48" spans="1:19" ht="19.95" customHeight="1" x14ac:dyDescent="0.3">
      <c r="A48" s="108" t="s">
        <v>132</v>
      </c>
      <c r="B48" s="109" t="s">
        <v>42</v>
      </c>
      <c r="C48" s="110">
        <f ca="1">VLOOKUP(B48,'Fuel and Mileage Auto Entries'!$J$4:$M$64,2,0)</f>
        <v>0</v>
      </c>
      <c r="D48" s="111">
        <f t="shared" ca="1" si="5"/>
        <v>0</v>
      </c>
      <c r="E48" s="112">
        <f t="shared" ca="1" si="4"/>
        <v>0</v>
      </c>
      <c r="F48" s="113">
        <f t="shared" ca="1" si="6"/>
        <v>0</v>
      </c>
      <c r="G48" s="61"/>
      <c r="H48" s="62" t="s">
        <v>42</v>
      </c>
      <c r="I48" s="63" t="s">
        <v>257</v>
      </c>
      <c r="J48" s="64">
        <f t="shared" ca="1" si="7"/>
        <v>0</v>
      </c>
      <c r="K48" s="65">
        <f t="shared" ca="1" si="8"/>
        <v>0</v>
      </c>
      <c r="L48" s="3"/>
      <c r="M48" s="3"/>
      <c r="N48" s="3"/>
      <c r="O48" s="3"/>
      <c r="P48" s="3"/>
      <c r="Q48" s="3"/>
      <c r="R48" s="3"/>
      <c r="S48" s="3"/>
    </row>
    <row r="49" spans="1:19" ht="19.95" customHeight="1" x14ac:dyDescent="0.3">
      <c r="A49" s="66" t="s">
        <v>133</v>
      </c>
      <c r="B49" s="67" t="s">
        <v>59</v>
      </c>
      <c r="C49" s="68">
        <f ca="1">VLOOKUP(B49,'Fuel and Mileage Auto Entries'!$J$4:$M$64,2,0)</f>
        <v>0</v>
      </c>
      <c r="D49" s="69">
        <f t="shared" ca="1" si="5"/>
        <v>0</v>
      </c>
      <c r="E49" s="70">
        <f t="shared" ca="1" si="4"/>
        <v>0</v>
      </c>
      <c r="F49" s="71">
        <f t="shared" ca="1" si="6"/>
        <v>0</v>
      </c>
      <c r="G49" s="61"/>
      <c r="H49" s="67" t="s">
        <v>59</v>
      </c>
      <c r="I49" s="72" t="s">
        <v>9</v>
      </c>
      <c r="J49" s="70">
        <f t="shared" ca="1" si="7"/>
        <v>0</v>
      </c>
      <c r="K49" s="71">
        <f t="shared" ca="1" si="8"/>
        <v>0</v>
      </c>
      <c r="L49" s="3"/>
      <c r="M49" s="3"/>
      <c r="N49" s="3"/>
      <c r="O49" s="3"/>
      <c r="P49" s="3"/>
      <c r="Q49" s="3"/>
      <c r="R49" s="3"/>
      <c r="S49" s="3"/>
    </row>
    <row r="50" spans="1:19" ht="19.95" customHeight="1" x14ac:dyDescent="0.3">
      <c r="A50" s="108" t="s">
        <v>134</v>
      </c>
      <c r="B50" s="109" t="s">
        <v>60</v>
      </c>
      <c r="C50" s="110">
        <f ca="1">VLOOKUP(B50,'Fuel and Mileage Auto Entries'!$J$4:$M$64,2,0)</f>
        <v>0</v>
      </c>
      <c r="D50" s="111">
        <f t="shared" ca="1" si="5"/>
        <v>0</v>
      </c>
      <c r="E50" s="112">
        <f t="shared" ca="1" si="4"/>
        <v>0</v>
      </c>
      <c r="F50" s="113">
        <f t="shared" ca="1" si="6"/>
        <v>0</v>
      </c>
      <c r="G50" s="61"/>
      <c r="H50" s="62" t="s">
        <v>60</v>
      </c>
      <c r="I50" s="63" t="s">
        <v>9</v>
      </c>
      <c r="J50" s="64">
        <f t="shared" ca="1" si="7"/>
        <v>16698</v>
      </c>
      <c r="K50" s="65">
        <f t="shared" ca="1" si="8"/>
        <v>3.2704816409991247E-2</v>
      </c>
      <c r="L50" s="3"/>
      <c r="M50" s="190" t="s">
        <v>265</v>
      </c>
      <c r="N50" s="191">
        <f ca="1">C65</f>
        <v>520612</v>
      </c>
      <c r="O50" s="3"/>
      <c r="P50" s="3"/>
      <c r="Q50" s="3"/>
      <c r="R50" s="3"/>
      <c r="S50" s="3"/>
    </row>
    <row r="51" spans="1:19" ht="19.95" customHeight="1" x14ac:dyDescent="0.3">
      <c r="A51" s="66" t="s">
        <v>135</v>
      </c>
      <c r="B51" s="67" t="s">
        <v>43</v>
      </c>
      <c r="C51" s="68">
        <f ca="1">VLOOKUP(B51,'Fuel and Mileage Auto Entries'!$J$4:$M$64,2,0)</f>
        <v>0</v>
      </c>
      <c r="D51" s="69">
        <f t="shared" ca="1" si="5"/>
        <v>0</v>
      </c>
      <c r="E51" s="70">
        <f t="shared" ca="1" si="4"/>
        <v>0</v>
      </c>
      <c r="F51" s="71">
        <f t="shared" ca="1" si="6"/>
        <v>0</v>
      </c>
      <c r="G51" s="61"/>
      <c r="H51" s="67" t="s">
        <v>43</v>
      </c>
      <c r="I51" s="72" t="s">
        <v>257</v>
      </c>
      <c r="J51" s="70">
        <f t="shared" ca="1" si="7"/>
        <v>0</v>
      </c>
      <c r="K51" s="71">
        <f t="shared" ca="1" si="8"/>
        <v>0</v>
      </c>
      <c r="L51" s="3"/>
      <c r="M51" s="190"/>
      <c r="N51" s="191"/>
      <c r="O51" s="3"/>
      <c r="P51" s="3"/>
      <c r="Q51" s="3"/>
      <c r="R51" s="3"/>
      <c r="S51" s="3"/>
    </row>
    <row r="52" spans="1:19" ht="19.95" customHeight="1" x14ac:dyDescent="0.3">
      <c r="A52" s="108" t="s">
        <v>138</v>
      </c>
      <c r="B52" s="109" t="s">
        <v>61</v>
      </c>
      <c r="C52" s="110">
        <f ca="1">VLOOKUP(B52,'Fuel and Mileage Auto Entries'!$J$4:$M$64,2,0)</f>
        <v>0</v>
      </c>
      <c r="D52" s="111">
        <f t="shared" ca="1" si="5"/>
        <v>0</v>
      </c>
      <c r="E52" s="112">
        <f t="shared" ca="1" si="4"/>
        <v>0</v>
      </c>
      <c r="F52" s="113">
        <f t="shared" ca="1" si="6"/>
        <v>0</v>
      </c>
      <c r="G52" s="61"/>
      <c r="H52" s="62" t="s">
        <v>61</v>
      </c>
      <c r="I52" s="63" t="s">
        <v>9</v>
      </c>
      <c r="J52" s="64">
        <f t="shared" ca="1" si="7"/>
        <v>17166</v>
      </c>
      <c r="K52" s="65">
        <f t="shared" ca="1" si="8"/>
        <v>3.3621444394173534E-2</v>
      </c>
      <c r="L52" s="3"/>
      <c r="M52" s="3"/>
      <c r="N52" s="98"/>
      <c r="O52" s="3"/>
      <c r="P52" s="3"/>
      <c r="Q52" s="3"/>
      <c r="R52" s="3"/>
      <c r="S52" s="3"/>
    </row>
    <row r="53" spans="1:19" ht="19.95" customHeight="1" x14ac:dyDescent="0.3">
      <c r="A53" s="66" t="s">
        <v>136</v>
      </c>
      <c r="B53" s="67" t="s">
        <v>44</v>
      </c>
      <c r="C53" s="68">
        <f ca="1">VLOOKUP(B53,'Fuel and Mileage Auto Entries'!$J$4:$M$64,2,0)</f>
        <v>0</v>
      </c>
      <c r="D53" s="69">
        <f t="shared" ca="1" si="5"/>
        <v>0</v>
      </c>
      <c r="E53" s="70">
        <f t="shared" ca="1" si="4"/>
        <v>0</v>
      </c>
      <c r="F53" s="71">
        <f t="shared" ca="1" si="6"/>
        <v>0</v>
      </c>
      <c r="G53" s="61"/>
      <c r="H53" s="67" t="s">
        <v>44</v>
      </c>
      <c r="I53" s="72" t="s">
        <v>257</v>
      </c>
      <c r="J53" s="70">
        <f t="shared" ca="1" si="7"/>
        <v>0</v>
      </c>
      <c r="K53" s="71">
        <f t="shared" ca="1" si="8"/>
        <v>0</v>
      </c>
      <c r="L53" s="3"/>
      <c r="M53" s="190" t="s">
        <v>266</v>
      </c>
      <c r="N53" s="191">
        <v>510566</v>
      </c>
      <c r="O53" s="3"/>
      <c r="P53" s="192" t="s">
        <v>267</v>
      </c>
      <c r="Q53" s="194">
        <f>N53/N118</f>
        <v>2.9182370525329082</v>
      </c>
      <c r="R53" s="3"/>
      <c r="S53" s="3"/>
    </row>
    <row r="54" spans="1:19" ht="19.95" customHeight="1" x14ac:dyDescent="0.3">
      <c r="A54" s="108" t="s">
        <v>137</v>
      </c>
      <c r="B54" s="109" t="s">
        <v>45</v>
      </c>
      <c r="C54" s="110">
        <f ca="1">VLOOKUP(B54,'Fuel and Mileage Auto Entries'!$J$4:$M$64,2,0)</f>
        <v>0</v>
      </c>
      <c r="D54" s="111">
        <f t="shared" ca="1" si="5"/>
        <v>0</v>
      </c>
      <c r="E54" s="112">
        <f t="shared" ca="1" si="4"/>
        <v>0</v>
      </c>
      <c r="F54" s="113">
        <f t="shared" ca="1" si="6"/>
        <v>0</v>
      </c>
      <c r="G54" s="61"/>
      <c r="H54" s="62" t="s">
        <v>45</v>
      </c>
      <c r="I54" s="63" t="s">
        <v>257</v>
      </c>
      <c r="J54" s="64">
        <f t="shared" ca="1" si="7"/>
        <v>0</v>
      </c>
      <c r="K54" s="65">
        <f t="shared" ca="1" si="8"/>
        <v>0</v>
      </c>
      <c r="L54" s="3"/>
      <c r="M54" s="190"/>
      <c r="N54" s="191"/>
      <c r="O54" s="3"/>
      <c r="P54" s="192"/>
      <c r="Q54" s="194"/>
      <c r="R54" s="3"/>
      <c r="S54" s="3"/>
    </row>
    <row r="55" spans="1:19" ht="19.95" customHeight="1" x14ac:dyDescent="0.3">
      <c r="A55" s="66" t="s">
        <v>139</v>
      </c>
      <c r="B55" s="67" t="s">
        <v>46</v>
      </c>
      <c r="C55" s="68">
        <f ca="1">VLOOKUP(B55,'Fuel and Mileage Auto Entries'!$J$4:$M$64,2,0)</f>
        <v>0</v>
      </c>
      <c r="D55" s="69">
        <f t="shared" ca="1" si="5"/>
        <v>0</v>
      </c>
      <c r="E55" s="70">
        <f t="shared" ca="1" si="4"/>
        <v>0</v>
      </c>
      <c r="F55" s="71">
        <f t="shared" ca="1" si="6"/>
        <v>0</v>
      </c>
      <c r="G55" s="61"/>
      <c r="H55" s="67" t="s">
        <v>46</v>
      </c>
      <c r="I55" s="72" t="s">
        <v>257</v>
      </c>
      <c r="J55" s="70">
        <f t="shared" ca="1" si="7"/>
        <v>0</v>
      </c>
      <c r="K55" s="71">
        <f t="shared" ca="1" si="8"/>
        <v>0</v>
      </c>
      <c r="L55" s="3"/>
      <c r="M55" s="3"/>
      <c r="N55" s="98"/>
      <c r="O55" s="3"/>
      <c r="P55" s="3"/>
      <c r="Q55" s="3"/>
      <c r="R55" s="3"/>
      <c r="S55" s="3"/>
    </row>
    <row r="56" spans="1:19" ht="19.95" customHeight="1" x14ac:dyDescent="0.3">
      <c r="A56" s="108" t="s">
        <v>140</v>
      </c>
      <c r="B56" s="109" t="s">
        <v>47</v>
      </c>
      <c r="C56" s="110">
        <f ca="1">VLOOKUP(B56,'Fuel and Mileage Auto Entries'!$J$4:$M$64,2,0)</f>
        <v>0</v>
      </c>
      <c r="D56" s="111">
        <f t="shared" ca="1" si="5"/>
        <v>0</v>
      </c>
      <c r="E56" s="112">
        <f t="shared" ca="1" si="4"/>
        <v>0</v>
      </c>
      <c r="F56" s="113">
        <f t="shared" ca="1" si="6"/>
        <v>0</v>
      </c>
      <c r="G56" s="61"/>
      <c r="H56" s="62" t="s">
        <v>47</v>
      </c>
      <c r="I56" s="63" t="s">
        <v>257</v>
      </c>
      <c r="J56" s="64">
        <f t="shared" ca="1" si="7"/>
        <v>0</v>
      </c>
      <c r="K56" s="65">
        <f t="shared" ca="1" si="8"/>
        <v>0</v>
      </c>
      <c r="L56" s="3"/>
      <c r="M56" s="192" t="s">
        <v>262</v>
      </c>
      <c r="N56" s="193">
        <f ca="1">N50/N53</f>
        <v>1.0196762024890025</v>
      </c>
      <c r="O56" s="3"/>
      <c r="P56" s="3"/>
      <c r="Q56" s="3"/>
      <c r="R56" s="3"/>
      <c r="S56" s="3"/>
    </row>
    <row r="57" spans="1:19" ht="19.95" customHeight="1" x14ac:dyDescent="0.3">
      <c r="A57" s="66" t="s">
        <v>141</v>
      </c>
      <c r="B57" s="67" t="s">
        <v>48</v>
      </c>
      <c r="C57" s="68">
        <f ca="1">VLOOKUP(B57,'Fuel and Mileage Auto Entries'!$J$4:$M$64,2,0)</f>
        <v>0</v>
      </c>
      <c r="D57" s="69">
        <f t="shared" ca="1" si="5"/>
        <v>0</v>
      </c>
      <c r="E57" s="70">
        <f t="shared" ca="1" si="4"/>
        <v>0</v>
      </c>
      <c r="F57" s="71">
        <f t="shared" ca="1" si="6"/>
        <v>0</v>
      </c>
      <c r="G57" s="61"/>
      <c r="H57" s="67" t="s">
        <v>48</v>
      </c>
      <c r="I57" s="72" t="s">
        <v>257</v>
      </c>
      <c r="J57" s="70">
        <f t="shared" ca="1" si="7"/>
        <v>0</v>
      </c>
      <c r="K57" s="71">
        <f t="shared" ca="1" si="8"/>
        <v>0</v>
      </c>
      <c r="L57" s="3"/>
      <c r="M57" s="192"/>
      <c r="N57" s="193"/>
      <c r="O57" s="3"/>
      <c r="P57" s="3"/>
      <c r="Q57" s="3"/>
      <c r="R57" s="3"/>
      <c r="S57" s="3"/>
    </row>
    <row r="58" spans="1:19" ht="19.95" customHeight="1" x14ac:dyDescent="0.3">
      <c r="A58" s="108" t="s">
        <v>143</v>
      </c>
      <c r="B58" s="109" t="s">
        <v>49</v>
      </c>
      <c r="C58" s="110">
        <f ca="1">VLOOKUP(B58,'Fuel and Mileage Auto Entries'!$J$4:$M$64,2,0)</f>
        <v>0</v>
      </c>
      <c r="D58" s="111">
        <f t="shared" ca="1" si="5"/>
        <v>0</v>
      </c>
      <c r="E58" s="112">
        <f t="shared" ca="1" si="4"/>
        <v>0</v>
      </c>
      <c r="F58" s="113">
        <f t="shared" ca="1" si="6"/>
        <v>0</v>
      </c>
      <c r="G58" s="61"/>
      <c r="H58" s="62" t="s">
        <v>49</v>
      </c>
      <c r="I58" s="63" t="s">
        <v>257</v>
      </c>
      <c r="J58" s="64">
        <f t="shared" ca="1" si="7"/>
        <v>0</v>
      </c>
      <c r="K58" s="65">
        <f t="shared" ca="1" si="8"/>
        <v>0</v>
      </c>
      <c r="L58" s="3"/>
      <c r="M58" s="3"/>
      <c r="N58" s="3"/>
      <c r="O58" s="3"/>
      <c r="P58" s="3"/>
      <c r="Q58" s="3"/>
      <c r="R58" s="3"/>
      <c r="S58" s="3"/>
    </row>
    <row r="59" spans="1:19" ht="19.95" customHeight="1" x14ac:dyDescent="0.3">
      <c r="A59" s="66" t="s">
        <v>142</v>
      </c>
      <c r="B59" s="67" t="s">
        <v>50</v>
      </c>
      <c r="C59" s="68">
        <f ca="1">VLOOKUP(B59,'Fuel and Mileage Auto Entries'!$J$4:$M$64,2,0)</f>
        <v>0</v>
      </c>
      <c r="D59" s="69">
        <f t="shared" ca="1" si="5"/>
        <v>0</v>
      </c>
      <c r="E59" s="70">
        <f t="shared" ca="1" si="4"/>
        <v>0</v>
      </c>
      <c r="F59" s="71">
        <f t="shared" ca="1" si="6"/>
        <v>0</v>
      </c>
      <c r="G59" s="61"/>
      <c r="H59" s="67" t="s">
        <v>50</v>
      </c>
      <c r="I59" s="72" t="s">
        <v>257</v>
      </c>
      <c r="J59" s="70">
        <f t="shared" ca="1" si="7"/>
        <v>0</v>
      </c>
      <c r="K59" s="71">
        <f t="shared" ca="1" si="8"/>
        <v>0</v>
      </c>
      <c r="L59" s="3"/>
      <c r="M59" s="3"/>
      <c r="N59" s="3"/>
      <c r="O59" s="3"/>
      <c r="P59" s="3"/>
      <c r="Q59" s="3"/>
      <c r="R59" s="3"/>
      <c r="S59" s="3"/>
    </row>
    <row r="60" spans="1:19" ht="19.95" customHeight="1" x14ac:dyDescent="0.3">
      <c r="A60" s="108" t="s">
        <v>142</v>
      </c>
      <c r="B60" s="109" t="s">
        <v>219</v>
      </c>
      <c r="C60" s="110">
        <f ca="1">VLOOKUP(B60,'Fuel and Mileage Auto Entries'!$J$4:$M$64,2,0)</f>
        <v>0</v>
      </c>
      <c r="D60" s="111">
        <f t="shared" ca="1" si="5"/>
        <v>0</v>
      </c>
      <c r="E60" s="112">
        <f t="shared" ca="1" si="4"/>
        <v>0</v>
      </c>
      <c r="F60" s="113">
        <f t="shared" ca="1" si="6"/>
        <v>0</v>
      </c>
      <c r="G60" s="61"/>
      <c r="H60" s="62" t="s">
        <v>50</v>
      </c>
      <c r="I60" s="63" t="s">
        <v>257</v>
      </c>
      <c r="J60" s="64">
        <f t="shared" ca="1" si="7"/>
        <v>0</v>
      </c>
      <c r="K60" s="65">
        <f t="shared" ca="1" si="8"/>
        <v>0</v>
      </c>
      <c r="L60" s="3"/>
      <c r="M60" s="3"/>
      <c r="N60" s="3"/>
      <c r="O60" s="3"/>
      <c r="P60" s="3"/>
      <c r="Q60" s="3"/>
      <c r="R60" s="3"/>
      <c r="S60" s="3"/>
    </row>
    <row r="61" spans="1:19" ht="19.95" customHeight="1" x14ac:dyDescent="0.3">
      <c r="A61" s="66" t="s">
        <v>144</v>
      </c>
      <c r="B61" s="67" t="s">
        <v>51</v>
      </c>
      <c r="C61" s="68">
        <f ca="1">VLOOKUP(B61,'Fuel and Mileage Auto Entries'!$J$4:$M$64,2,0)</f>
        <v>0</v>
      </c>
      <c r="D61" s="69">
        <f t="shared" ca="1" si="5"/>
        <v>0</v>
      </c>
      <c r="E61" s="70">
        <f t="shared" ca="1" si="4"/>
        <v>0</v>
      </c>
      <c r="F61" s="71">
        <f t="shared" ca="1" si="6"/>
        <v>0</v>
      </c>
      <c r="G61" s="61"/>
      <c r="H61" s="67" t="s">
        <v>51</v>
      </c>
      <c r="I61" s="72" t="s">
        <v>257</v>
      </c>
      <c r="J61" s="70">
        <f t="shared" ca="1" si="7"/>
        <v>0</v>
      </c>
      <c r="K61" s="71">
        <f t="shared" ca="1" si="8"/>
        <v>0</v>
      </c>
      <c r="L61" s="3"/>
      <c r="M61" s="3"/>
      <c r="N61" s="3"/>
      <c r="O61" s="3"/>
      <c r="P61" s="3"/>
      <c r="Q61" s="3"/>
      <c r="R61" s="3"/>
      <c r="S61" s="3"/>
    </row>
    <row r="62" spans="1:19" ht="19.95" customHeight="1" x14ac:dyDescent="0.3">
      <c r="A62" s="108" t="s">
        <v>146</v>
      </c>
      <c r="B62" s="109" t="s">
        <v>53</v>
      </c>
      <c r="C62" s="110">
        <f ca="1">VLOOKUP(B62,'Fuel and Mileage Auto Entries'!$J$4:$M$64,2,0)</f>
        <v>0</v>
      </c>
      <c r="D62" s="111">
        <f t="shared" ca="1" si="5"/>
        <v>0</v>
      </c>
      <c r="E62" s="112">
        <f t="shared" ca="1" si="4"/>
        <v>0</v>
      </c>
      <c r="F62" s="113">
        <f t="shared" ca="1" si="6"/>
        <v>0</v>
      </c>
      <c r="G62" s="61"/>
      <c r="H62" s="62" t="s">
        <v>53</v>
      </c>
      <c r="I62" s="63" t="s">
        <v>257</v>
      </c>
      <c r="J62" s="64">
        <f t="shared" ca="1" si="7"/>
        <v>0</v>
      </c>
      <c r="K62" s="65">
        <f t="shared" ca="1" si="8"/>
        <v>0</v>
      </c>
      <c r="L62" s="3"/>
      <c r="M62" s="3"/>
      <c r="N62" s="3"/>
      <c r="O62" s="3"/>
      <c r="P62" s="3"/>
      <c r="Q62" s="3"/>
      <c r="R62" s="3"/>
      <c r="S62" s="3"/>
    </row>
    <row r="63" spans="1:19" ht="19.95" customHeight="1" x14ac:dyDescent="0.3">
      <c r="A63" s="66" t="s">
        <v>145</v>
      </c>
      <c r="B63" s="67" t="s">
        <v>52</v>
      </c>
      <c r="C63" s="68">
        <f ca="1">VLOOKUP(B63,'Fuel and Mileage Auto Entries'!$J$4:$M$64,2,0)</f>
        <v>0</v>
      </c>
      <c r="D63" s="69">
        <f t="shared" ca="1" si="5"/>
        <v>0</v>
      </c>
      <c r="E63" s="70">
        <f t="shared" ca="1" si="4"/>
        <v>0</v>
      </c>
      <c r="F63" s="71">
        <f t="shared" ca="1" si="6"/>
        <v>0</v>
      </c>
      <c r="G63" s="61"/>
      <c r="H63" s="67" t="s">
        <v>52</v>
      </c>
      <c r="I63" s="72" t="s">
        <v>257</v>
      </c>
      <c r="J63" s="70">
        <f t="shared" ca="1" si="7"/>
        <v>0</v>
      </c>
      <c r="K63" s="71">
        <f t="shared" ca="1" si="8"/>
        <v>0</v>
      </c>
      <c r="L63" s="3"/>
      <c r="M63" s="3"/>
      <c r="N63" s="3"/>
      <c r="O63" s="3"/>
      <c r="P63" s="3"/>
      <c r="Q63" s="3"/>
      <c r="R63" s="3"/>
      <c r="S63" s="3"/>
    </row>
    <row r="64" spans="1:19" ht="19.95" customHeight="1" x14ac:dyDescent="0.3">
      <c r="A64" s="108" t="s">
        <v>147</v>
      </c>
      <c r="B64" s="109" t="s">
        <v>54</v>
      </c>
      <c r="C64" s="110">
        <f ca="1">VLOOKUP(B64,'Fuel and Mileage Auto Entries'!$J$4:$M$64,2,0)</f>
        <v>0</v>
      </c>
      <c r="D64" s="111">
        <f t="shared" ca="1" si="5"/>
        <v>0</v>
      </c>
      <c r="E64" s="112">
        <f t="shared" ca="1" si="4"/>
        <v>0</v>
      </c>
      <c r="F64" s="113">
        <f t="shared" ca="1" si="6"/>
        <v>0</v>
      </c>
      <c r="G64" s="61"/>
      <c r="H64" s="62" t="s">
        <v>54</v>
      </c>
      <c r="I64" s="63" t="s">
        <v>257</v>
      </c>
      <c r="J64" s="64">
        <f t="shared" ca="1" si="7"/>
        <v>0</v>
      </c>
      <c r="K64" s="65">
        <f t="shared" ca="1" si="8"/>
        <v>0</v>
      </c>
      <c r="L64" s="3"/>
      <c r="M64" s="3"/>
      <c r="N64" s="3"/>
      <c r="O64" s="3"/>
      <c r="P64" s="3"/>
      <c r="Q64" s="3"/>
      <c r="R64" s="3"/>
      <c r="S64" s="3"/>
    </row>
    <row r="65" spans="1:19" ht="20.25" customHeight="1" x14ac:dyDescent="0.3">
      <c r="A65" s="99" t="s">
        <v>241</v>
      </c>
      <c r="B65" s="100"/>
      <c r="C65" s="56">
        <f ca="1">SUM(C4:C64)</f>
        <v>520612</v>
      </c>
      <c r="D65" s="56">
        <f ca="1">SUM(D4:D64)</f>
        <v>510565.99999999994</v>
      </c>
      <c r="E65" s="56">
        <f ca="1">SUM(E4:E64)</f>
        <v>510566</v>
      </c>
      <c r="F65" s="56">
        <f ca="1">SUM(F4:F64)</f>
        <v>1</v>
      </c>
      <c r="G65" s="73"/>
      <c r="H65" s="100"/>
      <c r="I65" s="56">
        <f>SUM(I4:I64)</f>
        <v>0</v>
      </c>
      <c r="J65" s="56">
        <f ca="1">SUM(J4:J64)</f>
        <v>510567</v>
      </c>
      <c r="K65" s="56">
        <f ca="1">SUM(K4:K64)</f>
        <v>1</v>
      </c>
      <c r="L65" s="3"/>
      <c r="M65" s="3"/>
      <c r="N65" s="3"/>
      <c r="O65" s="3"/>
      <c r="P65" s="3"/>
      <c r="Q65" s="3"/>
      <c r="R65" s="3"/>
      <c r="S65" s="3"/>
    </row>
    <row r="66" spans="1:19" ht="25.05" customHeight="1" thickBot="1" x14ac:dyDescent="0.35">
      <c r="L66" s="3"/>
    </row>
    <row r="67" spans="1:19" x14ac:dyDescent="0.3">
      <c r="A67" s="177" t="s">
        <v>278</v>
      </c>
      <c r="B67" s="177"/>
      <c r="C67" s="177"/>
      <c r="D67" s="177"/>
      <c r="E67" s="177"/>
      <c r="F67" s="177"/>
      <c r="H67" s="177" t="s">
        <v>276</v>
      </c>
      <c r="I67" s="177"/>
      <c r="J67" s="177"/>
      <c r="K67" s="177"/>
    </row>
    <row r="68" spans="1:19" ht="28.8" x14ac:dyDescent="0.3">
      <c r="A68" s="55" t="s">
        <v>221</v>
      </c>
      <c r="B68" s="56" t="s">
        <v>212</v>
      </c>
      <c r="C68" s="57" t="s">
        <v>222</v>
      </c>
      <c r="D68" s="57" t="s">
        <v>223</v>
      </c>
      <c r="E68" s="58" t="s">
        <v>224</v>
      </c>
      <c r="F68" s="59" t="s">
        <v>254</v>
      </c>
      <c r="G68" s="60"/>
      <c r="H68" s="56" t="s">
        <v>212</v>
      </c>
      <c r="I68" s="57" t="s">
        <v>255</v>
      </c>
      <c r="J68" s="59" t="s">
        <v>256</v>
      </c>
      <c r="K68" s="59" t="s">
        <v>254</v>
      </c>
      <c r="M68" s="3"/>
      <c r="N68" s="3"/>
      <c r="O68" s="3"/>
      <c r="P68" s="3"/>
      <c r="Q68" s="3"/>
      <c r="R68" s="3"/>
      <c r="S68" s="3"/>
    </row>
    <row r="69" spans="1:19" x14ac:dyDescent="0.3">
      <c r="A69" s="108" t="s">
        <v>91</v>
      </c>
      <c r="B69" s="109" t="s">
        <v>5</v>
      </c>
      <c r="C69" s="110">
        <f ca="1">VLOOKUP(B69,'Fuel and Mileage Auto Entries'!$J$4:$M$64,4,0)</f>
        <v>0</v>
      </c>
      <c r="D69" s="111">
        <f t="shared" ref="D69:D100" ca="1" si="14">IFERROR((IF(I69="CA",C69*$R$88,C69*$R$96)/$N$121),"")</f>
        <v>0</v>
      </c>
      <c r="E69" s="112">
        <f ca="1">IFERROR(ROUND(D69,0),"")</f>
        <v>0</v>
      </c>
      <c r="F69" s="113">
        <f t="shared" ref="F69:F100" ca="1" si="15">IFERROR(E69/$E$130,0)</f>
        <v>0</v>
      </c>
      <c r="G69" s="61"/>
      <c r="H69" s="62" t="s">
        <v>5</v>
      </c>
      <c r="I69" s="63" t="s">
        <v>257</v>
      </c>
      <c r="J69" s="64">
        <f t="shared" ref="J69:J100" ca="1" si="16">IFERROR(ROUND(IF(I69="US",E69,VLOOKUP(H69,$M$100:$R$111,6,0)),0),"")</f>
        <v>0</v>
      </c>
      <c r="K69" s="65">
        <f t="shared" ref="K69:K100" ca="1" si="17">IFERROR(J69/$J$130,0)</f>
        <v>0</v>
      </c>
      <c r="L69" s="3"/>
      <c r="M69" s="3"/>
      <c r="N69" s="3"/>
      <c r="O69" s="3"/>
      <c r="P69" s="3"/>
      <c r="Q69" s="3"/>
      <c r="R69" s="3"/>
      <c r="S69" s="3"/>
    </row>
    <row r="70" spans="1:19" ht="19.95" customHeight="1" x14ac:dyDescent="0.3">
      <c r="A70" s="66" t="s">
        <v>90</v>
      </c>
      <c r="B70" s="67" t="s">
        <v>4</v>
      </c>
      <c r="C70" s="68">
        <f ca="1">VLOOKUP(B70,'Fuel and Mileage Auto Entries'!$J$4:$M$64,4,0)</f>
        <v>0</v>
      </c>
      <c r="D70" s="69">
        <f t="shared" ca="1" si="14"/>
        <v>0</v>
      </c>
      <c r="E70" s="70">
        <f t="shared" ref="E70:E129" ca="1" si="18">IFERROR(ROUND(D70,0),"")</f>
        <v>0</v>
      </c>
      <c r="F70" s="71">
        <f t="shared" ca="1" si="15"/>
        <v>0</v>
      </c>
      <c r="G70" s="61"/>
      <c r="H70" s="67" t="s">
        <v>4</v>
      </c>
      <c r="I70" s="72" t="s">
        <v>9</v>
      </c>
      <c r="J70" s="70">
        <f t="shared" ca="1" si="16"/>
        <v>22582</v>
      </c>
      <c r="K70" s="115">
        <f t="shared" ca="1" si="17"/>
        <v>0.33296471594343935</v>
      </c>
      <c r="L70" s="3"/>
      <c r="M70" s="179" t="s">
        <v>279</v>
      </c>
      <c r="N70" s="179"/>
      <c r="O70" s="179"/>
      <c r="P70" s="179"/>
      <c r="Q70" s="179"/>
      <c r="R70" s="179"/>
      <c r="S70" s="179"/>
    </row>
    <row r="71" spans="1:19" ht="19.95" customHeight="1" x14ac:dyDescent="0.3">
      <c r="A71" s="108" t="s">
        <v>93</v>
      </c>
      <c r="B71" s="109" t="s">
        <v>7</v>
      </c>
      <c r="C71" s="110">
        <f ca="1">VLOOKUP(B71,'Fuel and Mileage Auto Entries'!$J$4:$M$64,4,0)</f>
        <v>0</v>
      </c>
      <c r="D71" s="111">
        <f t="shared" ca="1" si="14"/>
        <v>0</v>
      </c>
      <c r="E71" s="112">
        <f t="shared" ca="1" si="18"/>
        <v>0</v>
      </c>
      <c r="F71" s="113">
        <f t="shared" ca="1" si="15"/>
        <v>0</v>
      </c>
      <c r="G71" s="61"/>
      <c r="H71" s="62" t="s">
        <v>7</v>
      </c>
      <c r="I71" s="63" t="s">
        <v>257</v>
      </c>
      <c r="J71" s="64">
        <f t="shared" ca="1" si="16"/>
        <v>0</v>
      </c>
      <c r="K71" s="65">
        <f t="shared" ca="1" si="17"/>
        <v>0</v>
      </c>
      <c r="L71" s="73"/>
      <c r="M71" s="179"/>
      <c r="N71" s="179"/>
      <c r="O71" s="179"/>
      <c r="P71" s="179"/>
      <c r="Q71" s="179"/>
      <c r="R71" s="179"/>
      <c r="S71" s="179"/>
    </row>
    <row r="72" spans="1:19" ht="19.95" customHeight="1" x14ac:dyDescent="0.3">
      <c r="A72" s="66" t="s">
        <v>92</v>
      </c>
      <c r="B72" s="67" t="s">
        <v>6</v>
      </c>
      <c r="C72" s="68">
        <f ca="1">VLOOKUP(B72,'Fuel and Mileage Auto Entries'!$J$4:$M$64,4,0)</f>
        <v>0</v>
      </c>
      <c r="D72" s="69">
        <f t="shared" ca="1" si="14"/>
        <v>0</v>
      </c>
      <c r="E72" s="70">
        <f t="shared" ca="1" si="18"/>
        <v>0</v>
      </c>
      <c r="F72" s="71">
        <f t="shared" ca="1" si="15"/>
        <v>0</v>
      </c>
      <c r="G72" s="61"/>
      <c r="H72" s="67" t="s">
        <v>6</v>
      </c>
      <c r="I72" s="72" t="s">
        <v>257</v>
      </c>
      <c r="J72" s="70">
        <f t="shared" ca="1" si="16"/>
        <v>0</v>
      </c>
      <c r="K72" s="115">
        <f t="shared" ca="1" si="17"/>
        <v>0</v>
      </c>
      <c r="L72" s="73"/>
      <c r="M72" s="180" t="s">
        <v>280</v>
      </c>
      <c r="N72" s="180"/>
      <c r="O72" s="180" t="s">
        <v>281</v>
      </c>
      <c r="P72" s="180"/>
      <c r="Q72" s="75"/>
      <c r="R72" s="75"/>
      <c r="S72" s="3"/>
    </row>
    <row r="73" spans="1:19" ht="19.95" customHeight="1" x14ac:dyDescent="0.3">
      <c r="A73" s="108" t="s">
        <v>94</v>
      </c>
      <c r="B73" s="109" t="s">
        <v>8</v>
      </c>
      <c r="C73" s="110">
        <f ca="1">VLOOKUP(B73,'Fuel and Mileage Auto Entries'!$J$4:$M$64,4,0)</f>
        <v>0</v>
      </c>
      <c r="D73" s="111">
        <f t="shared" ca="1" si="14"/>
        <v>0</v>
      </c>
      <c r="E73" s="112">
        <f t="shared" ca="1" si="18"/>
        <v>0</v>
      </c>
      <c r="F73" s="113">
        <f t="shared" ca="1" si="15"/>
        <v>0</v>
      </c>
      <c r="G73" s="61"/>
      <c r="H73" s="62" t="s">
        <v>8</v>
      </c>
      <c r="I73" s="63" t="s">
        <v>9</v>
      </c>
      <c r="J73" s="64">
        <f t="shared" ca="1" si="16"/>
        <v>0</v>
      </c>
      <c r="K73" s="65">
        <f t="shared" ca="1" si="17"/>
        <v>0</v>
      </c>
      <c r="L73" s="74"/>
      <c r="M73" s="181"/>
      <c r="N73" s="181"/>
      <c r="O73" s="181"/>
      <c r="P73" s="181"/>
      <c r="Q73" s="75"/>
      <c r="R73" s="75"/>
      <c r="S73" s="3"/>
    </row>
    <row r="74" spans="1:19" ht="19.95" customHeight="1" x14ac:dyDescent="0.3">
      <c r="A74" s="66" t="s">
        <v>95</v>
      </c>
      <c r="B74" s="67" t="s">
        <v>9</v>
      </c>
      <c r="C74" s="68">
        <f ca="1">VLOOKUP(B74,'Fuel and Mileage Auto Entries'!$J$4:$M$64,4,0)</f>
        <v>0</v>
      </c>
      <c r="D74" s="69">
        <f t="shared" ca="1" si="14"/>
        <v>0</v>
      </c>
      <c r="E74" s="70">
        <f t="shared" ca="1" si="18"/>
        <v>0</v>
      </c>
      <c r="F74" s="71">
        <f t="shared" ca="1" si="15"/>
        <v>0</v>
      </c>
      <c r="G74" s="61"/>
      <c r="H74" s="67" t="s">
        <v>9</v>
      </c>
      <c r="I74" s="72" t="s">
        <v>257</v>
      </c>
      <c r="J74" s="70">
        <f t="shared" ca="1" si="16"/>
        <v>0</v>
      </c>
      <c r="K74" s="115">
        <f t="shared" ca="1" si="17"/>
        <v>0</v>
      </c>
      <c r="L74" s="74"/>
      <c r="M74" s="77"/>
      <c r="N74" s="77"/>
      <c r="O74" s="77"/>
      <c r="P74" s="77"/>
      <c r="Q74" s="78"/>
      <c r="R74" s="78"/>
      <c r="S74" s="3"/>
    </row>
    <row r="75" spans="1:19" ht="19.95" customHeight="1" x14ac:dyDescent="0.3">
      <c r="A75" s="108" t="s">
        <v>96</v>
      </c>
      <c r="B75" s="109" t="s">
        <v>10</v>
      </c>
      <c r="C75" s="110">
        <f ca="1">VLOOKUP(B75,'Fuel and Mileage Auto Entries'!$J$4:$M$64,4,0)</f>
        <v>0</v>
      </c>
      <c r="D75" s="111">
        <f t="shared" ca="1" si="14"/>
        <v>0</v>
      </c>
      <c r="E75" s="112">
        <f t="shared" ca="1" si="18"/>
        <v>0</v>
      </c>
      <c r="F75" s="113">
        <f t="shared" ca="1" si="15"/>
        <v>0</v>
      </c>
      <c r="G75" s="61"/>
      <c r="H75" s="62" t="s">
        <v>10</v>
      </c>
      <c r="I75" s="63" t="s">
        <v>257</v>
      </c>
      <c r="J75" s="64">
        <f t="shared" ca="1" si="16"/>
        <v>0</v>
      </c>
      <c r="K75" s="65">
        <f t="shared" ca="1" si="17"/>
        <v>0</v>
      </c>
      <c r="L75" s="76"/>
      <c r="M75" s="182">
        <f ca="1">SUMIF($I$4:$I$64,"CA",C69:C129)</f>
        <v>230569</v>
      </c>
      <c r="N75" s="182"/>
      <c r="O75" s="182">
        <f ca="1">SUMIF($I$4:$I$64,"CA",D69:D129)</f>
        <v>67822.081050000008</v>
      </c>
      <c r="P75" s="182"/>
      <c r="Q75" s="79"/>
      <c r="R75" s="79"/>
      <c r="S75" s="3"/>
    </row>
    <row r="76" spans="1:19" ht="19.95" customHeight="1" x14ac:dyDescent="0.3">
      <c r="A76" s="66" t="s">
        <v>97</v>
      </c>
      <c r="B76" s="67" t="s">
        <v>11</v>
      </c>
      <c r="C76" s="68">
        <f ca="1">VLOOKUP(B76,'Fuel and Mileage Auto Entries'!$J$4:$M$64,4,0)</f>
        <v>0</v>
      </c>
      <c r="D76" s="69">
        <f t="shared" ca="1" si="14"/>
        <v>0</v>
      </c>
      <c r="E76" s="70">
        <f t="shared" ca="1" si="18"/>
        <v>0</v>
      </c>
      <c r="F76" s="71">
        <f t="shared" ca="1" si="15"/>
        <v>0</v>
      </c>
      <c r="G76" s="61"/>
      <c r="H76" s="67" t="s">
        <v>11</v>
      </c>
      <c r="I76" s="72" t="s">
        <v>257</v>
      </c>
      <c r="J76" s="70">
        <f t="shared" ca="1" si="16"/>
        <v>0</v>
      </c>
      <c r="K76" s="115">
        <f t="shared" ca="1" si="17"/>
        <v>0</v>
      </c>
      <c r="L76" s="3"/>
      <c r="M76" s="3"/>
      <c r="N76" s="3"/>
      <c r="O76" s="3"/>
      <c r="P76" s="3"/>
      <c r="Q76" s="3"/>
      <c r="R76" s="3"/>
      <c r="S76" s="3"/>
    </row>
    <row r="77" spans="1:19" ht="19.95" customHeight="1" x14ac:dyDescent="0.3">
      <c r="A77" s="108" t="s">
        <v>98</v>
      </c>
      <c r="B77" s="109" t="s">
        <v>12</v>
      </c>
      <c r="C77" s="110">
        <f ca="1">VLOOKUP(B77,'Fuel and Mileage Auto Entries'!$J$4:$M$64,4,0)</f>
        <v>0</v>
      </c>
      <c r="D77" s="111">
        <f t="shared" ca="1" si="14"/>
        <v>0</v>
      </c>
      <c r="E77" s="112">
        <f t="shared" ca="1" si="18"/>
        <v>0</v>
      </c>
      <c r="F77" s="113">
        <f t="shared" ca="1" si="15"/>
        <v>0</v>
      </c>
      <c r="G77" s="61"/>
      <c r="H77" s="62" t="s">
        <v>12</v>
      </c>
      <c r="I77" s="63" t="s">
        <v>257</v>
      </c>
      <c r="J77" s="64">
        <f t="shared" ca="1" si="16"/>
        <v>0</v>
      </c>
      <c r="K77" s="65">
        <f t="shared" ca="1" si="17"/>
        <v>0</v>
      </c>
      <c r="L77" s="74"/>
      <c r="M77" s="180" t="s">
        <v>282</v>
      </c>
      <c r="N77" s="180"/>
      <c r="O77" s="180" t="s">
        <v>283</v>
      </c>
      <c r="P77" s="180"/>
      <c r="Q77" s="75"/>
      <c r="R77" s="75"/>
      <c r="S77" s="3"/>
    </row>
    <row r="78" spans="1:19" ht="19.95" customHeight="1" x14ac:dyDescent="0.3">
      <c r="A78" s="66" t="s">
        <v>99</v>
      </c>
      <c r="B78" s="67" t="s">
        <v>13</v>
      </c>
      <c r="C78" s="68">
        <f ca="1">VLOOKUP(B78,'Fuel and Mileage Auto Entries'!$J$4:$M$64,4,0)</f>
        <v>0</v>
      </c>
      <c r="D78" s="69">
        <f t="shared" ca="1" si="14"/>
        <v>0</v>
      </c>
      <c r="E78" s="70">
        <f t="shared" ca="1" si="18"/>
        <v>0</v>
      </c>
      <c r="F78" s="71">
        <f t="shared" ca="1" si="15"/>
        <v>0</v>
      </c>
      <c r="G78" s="61"/>
      <c r="H78" s="67" t="s">
        <v>13</v>
      </c>
      <c r="I78" s="72" t="s">
        <v>257</v>
      </c>
      <c r="J78" s="70">
        <f t="shared" ca="1" si="16"/>
        <v>0</v>
      </c>
      <c r="K78" s="115">
        <f t="shared" ca="1" si="17"/>
        <v>0</v>
      </c>
      <c r="L78" s="74"/>
      <c r="M78" s="181"/>
      <c r="N78" s="181"/>
      <c r="O78" s="181"/>
      <c r="P78" s="181"/>
      <c r="Q78" s="75"/>
      <c r="R78" s="75"/>
      <c r="S78" s="3"/>
    </row>
    <row r="79" spans="1:19" ht="19.95" customHeight="1" x14ac:dyDescent="0.3">
      <c r="A79" s="108" t="s">
        <v>100</v>
      </c>
      <c r="B79" s="109" t="s">
        <v>14</v>
      </c>
      <c r="C79" s="110">
        <f ca="1">VLOOKUP(B79,'Fuel and Mileage Auto Entries'!$J$4:$M$64,4,0)</f>
        <v>0</v>
      </c>
      <c r="D79" s="111">
        <f t="shared" ca="1" si="14"/>
        <v>0</v>
      </c>
      <c r="E79" s="112">
        <f t="shared" ca="1" si="18"/>
        <v>0</v>
      </c>
      <c r="F79" s="113">
        <f t="shared" ca="1" si="15"/>
        <v>0</v>
      </c>
      <c r="G79" s="61"/>
      <c r="H79" s="62" t="s">
        <v>14</v>
      </c>
      <c r="I79" s="63" t="s">
        <v>257</v>
      </c>
      <c r="J79" s="64">
        <f t="shared" ca="1" si="16"/>
        <v>0</v>
      </c>
      <c r="K79" s="65">
        <f t="shared" ca="1" si="17"/>
        <v>0</v>
      </c>
      <c r="L79" s="80"/>
      <c r="M79" s="49"/>
      <c r="N79" s="78"/>
      <c r="O79" s="49"/>
      <c r="P79" s="78"/>
      <c r="Q79" s="81"/>
      <c r="R79" s="81"/>
      <c r="S79" s="3"/>
    </row>
    <row r="80" spans="1:19" ht="19.95" customHeight="1" x14ac:dyDescent="0.3">
      <c r="A80" s="66" t="s">
        <v>102</v>
      </c>
      <c r="B80" s="67" t="s">
        <v>16</v>
      </c>
      <c r="C80" s="68">
        <f ca="1">VLOOKUP(B80,'Fuel and Mileage Auto Entries'!$J$4:$M$64,4,0)</f>
        <v>0</v>
      </c>
      <c r="D80" s="69">
        <f t="shared" ca="1" si="14"/>
        <v>0</v>
      </c>
      <c r="E80" s="70">
        <f t="shared" ca="1" si="18"/>
        <v>0</v>
      </c>
      <c r="F80" s="71">
        <f t="shared" ca="1" si="15"/>
        <v>0</v>
      </c>
      <c r="G80" s="61"/>
      <c r="H80" s="67" t="s">
        <v>16</v>
      </c>
      <c r="I80" s="72" t="s">
        <v>257</v>
      </c>
      <c r="J80" s="70">
        <f t="shared" ca="1" si="16"/>
        <v>0</v>
      </c>
      <c r="K80" s="115">
        <f t="shared" ca="1" si="17"/>
        <v>0</v>
      </c>
      <c r="L80" s="54"/>
      <c r="M80" s="183">
        <f ca="1">C130-M75</f>
        <v>0</v>
      </c>
      <c r="N80" s="183"/>
      <c r="O80" s="184">
        <f ca="1">D130-O75</f>
        <v>0</v>
      </c>
      <c r="P80" s="184"/>
      <c r="Q80" s="54"/>
      <c r="R80" s="54"/>
      <c r="S80" s="3"/>
    </row>
    <row r="81" spans="1:19" ht="19.95" customHeight="1" x14ac:dyDescent="0.3">
      <c r="A81" s="108" t="s">
        <v>103</v>
      </c>
      <c r="B81" s="109" t="s">
        <v>17</v>
      </c>
      <c r="C81" s="110">
        <f ca="1">VLOOKUP(B81,'Fuel and Mileage Auto Entries'!$J$4:$M$64,4,0)</f>
        <v>0</v>
      </c>
      <c r="D81" s="111">
        <f t="shared" ca="1" si="14"/>
        <v>0</v>
      </c>
      <c r="E81" s="112">
        <f t="shared" ca="1" si="18"/>
        <v>0</v>
      </c>
      <c r="F81" s="113">
        <f t="shared" ca="1" si="15"/>
        <v>0</v>
      </c>
      <c r="G81" s="61"/>
      <c r="H81" s="62" t="s">
        <v>17</v>
      </c>
      <c r="I81" s="63" t="s">
        <v>257</v>
      </c>
      <c r="J81" s="64">
        <f t="shared" ca="1" si="16"/>
        <v>0</v>
      </c>
      <c r="K81" s="65">
        <f t="shared" ca="1" si="17"/>
        <v>0</v>
      </c>
      <c r="L81" s="3"/>
      <c r="M81" s="3"/>
      <c r="N81" s="3"/>
      <c r="O81" s="3"/>
      <c r="P81" s="3"/>
      <c r="Q81" s="3"/>
      <c r="R81" s="3"/>
      <c r="S81" s="3"/>
    </row>
    <row r="82" spans="1:19" ht="19.95" customHeight="1" x14ac:dyDescent="0.3">
      <c r="A82" s="66" t="s">
        <v>104</v>
      </c>
      <c r="B82" s="67" t="s">
        <v>18</v>
      </c>
      <c r="C82" s="68">
        <f ca="1">VLOOKUP(B82,'Fuel and Mileage Auto Entries'!$J$4:$M$64,4,0)</f>
        <v>0</v>
      </c>
      <c r="D82" s="69">
        <f t="shared" ca="1" si="14"/>
        <v>0</v>
      </c>
      <c r="E82" s="70">
        <f t="shared" ca="1" si="18"/>
        <v>0</v>
      </c>
      <c r="F82" s="71">
        <f t="shared" ca="1" si="15"/>
        <v>0</v>
      </c>
      <c r="G82" s="61"/>
      <c r="H82" s="67" t="s">
        <v>18</v>
      </c>
      <c r="I82" s="72" t="s">
        <v>257</v>
      </c>
      <c r="J82" s="70">
        <f t="shared" ca="1" si="16"/>
        <v>0</v>
      </c>
      <c r="K82" s="115">
        <f t="shared" ca="1" si="17"/>
        <v>0</v>
      </c>
      <c r="L82" s="82"/>
      <c r="M82" s="179" t="s">
        <v>225</v>
      </c>
      <c r="N82" s="179"/>
      <c r="O82" s="179"/>
      <c r="P82" s="179"/>
      <c r="Q82" s="179"/>
      <c r="R82" s="179"/>
      <c r="S82" s="179"/>
    </row>
    <row r="83" spans="1:19" ht="19.95" customHeight="1" x14ac:dyDescent="0.3">
      <c r="A83" s="108" t="s">
        <v>104</v>
      </c>
      <c r="B83" s="109" t="s">
        <v>217</v>
      </c>
      <c r="C83" s="110">
        <f ca="1">VLOOKUP(B83,'Fuel and Mileage Auto Entries'!$J$4:$M$64,4,0)</f>
        <v>0</v>
      </c>
      <c r="D83" s="111">
        <f t="shared" ca="1" si="14"/>
        <v>0</v>
      </c>
      <c r="E83" s="112">
        <f t="shared" ca="1" si="18"/>
        <v>0</v>
      </c>
      <c r="F83" s="113">
        <f t="shared" ca="1" si="15"/>
        <v>0</v>
      </c>
      <c r="G83" s="61"/>
      <c r="H83" s="62" t="s">
        <v>18</v>
      </c>
      <c r="I83" s="63" t="s">
        <v>257</v>
      </c>
      <c r="J83" s="64">
        <f t="shared" ca="1" si="16"/>
        <v>0</v>
      </c>
      <c r="K83" s="65">
        <f t="shared" ca="1" si="17"/>
        <v>0</v>
      </c>
      <c r="L83" s="83"/>
      <c r="M83" s="179"/>
      <c r="N83" s="179"/>
      <c r="O83" s="179"/>
      <c r="P83" s="179"/>
      <c r="Q83" s="179"/>
      <c r="R83" s="179"/>
      <c r="S83" s="179"/>
    </row>
    <row r="84" spans="1:19" ht="19.95" customHeight="1" x14ac:dyDescent="0.3">
      <c r="A84" s="66" t="s">
        <v>101</v>
      </c>
      <c r="B84" s="67" t="s">
        <v>15</v>
      </c>
      <c r="C84" s="68">
        <f ca="1">VLOOKUP(B84,'Fuel and Mileage Auto Entries'!$J$4:$M$64,4,0)</f>
        <v>0</v>
      </c>
      <c r="D84" s="69">
        <f t="shared" ca="1" si="14"/>
        <v>0</v>
      </c>
      <c r="E84" s="70">
        <f t="shared" ca="1" si="18"/>
        <v>0</v>
      </c>
      <c r="F84" s="71">
        <f t="shared" ca="1" si="15"/>
        <v>0</v>
      </c>
      <c r="G84" s="61"/>
      <c r="H84" s="67" t="s">
        <v>15</v>
      </c>
      <c r="I84" s="72" t="s">
        <v>257</v>
      </c>
      <c r="J84" s="70">
        <f t="shared" ca="1" si="16"/>
        <v>0</v>
      </c>
      <c r="K84" s="115">
        <f t="shared" ca="1" si="17"/>
        <v>0</v>
      </c>
      <c r="L84" s="83"/>
      <c r="M84" s="185" t="s">
        <v>284</v>
      </c>
      <c r="N84" s="185" t="s">
        <v>285</v>
      </c>
      <c r="O84" s="185" t="s">
        <v>286</v>
      </c>
      <c r="P84" s="185" t="s">
        <v>287</v>
      </c>
      <c r="Q84" s="185" t="s">
        <v>288</v>
      </c>
      <c r="R84" s="185" t="s">
        <v>233</v>
      </c>
    </row>
    <row r="85" spans="1:19" ht="19.95" customHeight="1" x14ac:dyDescent="0.3">
      <c r="A85" s="108" t="s">
        <v>105</v>
      </c>
      <c r="B85" s="109" t="s">
        <v>19</v>
      </c>
      <c r="C85" s="110">
        <f ca="1">VLOOKUP(B85,'Fuel and Mileage Auto Entries'!$J$4:$M$64,4,0)</f>
        <v>0</v>
      </c>
      <c r="D85" s="111">
        <f t="shared" ca="1" si="14"/>
        <v>0</v>
      </c>
      <c r="E85" s="112">
        <f t="shared" ca="1" si="18"/>
        <v>0</v>
      </c>
      <c r="F85" s="113">
        <f t="shared" ca="1" si="15"/>
        <v>0</v>
      </c>
      <c r="G85" s="61"/>
      <c r="H85" s="62" t="s">
        <v>19</v>
      </c>
      <c r="I85" s="63" t="s">
        <v>257</v>
      </c>
      <c r="J85" s="64">
        <f t="shared" ca="1" si="16"/>
        <v>0</v>
      </c>
      <c r="K85" s="65">
        <f t="shared" ca="1" si="17"/>
        <v>0</v>
      </c>
      <c r="L85" s="3"/>
      <c r="M85" s="185"/>
      <c r="N85" s="185"/>
      <c r="O85" s="185"/>
      <c r="P85" s="185"/>
      <c r="Q85" s="185"/>
      <c r="R85" s="185"/>
    </row>
    <row r="86" spans="1:19" ht="19.95" customHeight="1" x14ac:dyDescent="0.3">
      <c r="A86" s="66" t="s">
        <v>106</v>
      </c>
      <c r="B86" s="67" t="s">
        <v>20</v>
      </c>
      <c r="C86" s="68">
        <f ca="1">VLOOKUP(B86,'Fuel and Mileage Auto Entries'!$J$4:$M$64,4,0)</f>
        <v>0</v>
      </c>
      <c r="D86" s="69">
        <f t="shared" ca="1" si="14"/>
        <v>0</v>
      </c>
      <c r="E86" s="70">
        <f t="shared" ca="1" si="18"/>
        <v>0</v>
      </c>
      <c r="F86" s="71">
        <f t="shared" ca="1" si="15"/>
        <v>0</v>
      </c>
      <c r="G86" s="61"/>
      <c r="H86" s="67" t="s">
        <v>20</v>
      </c>
      <c r="I86" s="72" t="s">
        <v>257</v>
      </c>
      <c r="J86" s="70">
        <f t="shared" ca="1" si="16"/>
        <v>0</v>
      </c>
      <c r="K86" s="115">
        <f t="shared" ca="1" si="17"/>
        <v>0</v>
      </c>
      <c r="L86" s="3"/>
      <c r="M86" s="185"/>
      <c r="N86" s="185"/>
      <c r="O86" s="185"/>
      <c r="P86" s="185"/>
      <c r="Q86" s="185"/>
      <c r="R86" s="185"/>
    </row>
    <row r="87" spans="1:19" ht="19.95" customHeight="1" x14ac:dyDescent="0.3">
      <c r="A87" s="108" t="s">
        <v>106</v>
      </c>
      <c r="B87" s="109" t="s">
        <v>218</v>
      </c>
      <c r="C87" s="110">
        <f ca="1">VLOOKUP(B87,'Fuel and Mileage Auto Entries'!$J$4:$M$64,4,0)</f>
        <v>0</v>
      </c>
      <c r="D87" s="111">
        <f t="shared" ca="1" si="14"/>
        <v>0</v>
      </c>
      <c r="E87" s="112">
        <f t="shared" ca="1" si="18"/>
        <v>0</v>
      </c>
      <c r="F87" s="113">
        <f t="shared" ca="1" si="15"/>
        <v>0</v>
      </c>
      <c r="G87" s="61"/>
      <c r="H87" s="62" t="s">
        <v>20</v>
      </c>
      <c r="I87" s="63" t="s">
        <v>257</v>
      </c>
      <c r="J87" s="64">
        <f t="shared" ca="1" si="16"/>
        <v>0</v>
      </c>
      <c r="K87" s="65">
        <f t="shared" ca="1" si="17"/>
        <v>0</v>
      </c>
      <c r="L87" s="51"/>
      <c r="M87" s="50"/>
      <c r="N87" s="50"/>
      <c r="O87" s="50"/>
      <c r="P87" s="50"/>
      <c r="Q87" s="50"/>
      <c r="R87" s="50"/>
    </row>
    <row r="88" spans="1:19" ht="19.95" customHeight="1" x14ac:dyDescent="0.3">
      <c r="A88" s="66" t="s">
        <v>107</v>
      </c>
      <c r="B88" s="67" t="s">
        <v>21</v>
      </c>
      <c r="C88" s="68">
        <f ca="1">VLOOKUP(B88,'Fuel and Mileage Auto Entries'!$J$4:$M$64,4,0)</f>
        <v>0</v>
      </c>
      <c r="D88" s="69">
        <f t="shared" ca="1" si="14"/>
        <v>0</v>
      </c>
      <c r="E88" s="70">
        <f t="shared" ca="1" si="18"/>
        <v>0</v>
      </c>
      <c r="F88" s="71">
        <f t="shared" ca="1" si="15"/>
        <v>0</v>
      </c>
      <c r="G88" s="61"/>
      <c r="H88" s="67" t="s">
        <v>21</v>
      </c>
      <c r="I88" s="72" t="s">
        <v>257</v>
      </c>
      <c r="J88" s="70">
        <f t="shared" ca="1" si="16"/>
        <v>0</v>
      </c>
      <c r="K88" s="115">
        <f t="shared" ca="1" si="17"/>
        <v>0</v>
      </c>
      <c r="L88" s="52"/>
      <c r="M88" s="51">
        <f ca="1">C130</f>
        <v>230569</v>
      </c>
      <c r="N88" s="51">
        <f ca="1">M75</f>
        <v>230569</v>
      </c>
      <c r="O88" s="84">
        <f ca="1">IFERROR((N88*100)/M88,0)</f>
        <v>100</v>
      </c>
      <c r="P88" s="85">
        <v>38.765000000000001</v>
      </c>
      <c r="Q88" s="86">
        <f ca="1">(M88*P88)/100</f>
        <v>89380.072849999997</v>
      </c>
      <c r="R88" s="84">
        <f ca="1">IFERROR(P88/O88,0)</f>
        <v>0.38764999999999999</v>
      </c>
      <c r="S88" s="52"/>
    </row>
    <row r="89" spans="1:19" ht="19.95" customHeight="1" x14ac:dyDescent="0.3">
      <c r="A89" s="108" t="s">
        <v>111</v>
      </c>
      <c r="B89" s="109" t="s">
        <v>23</v>
      </c>
      <c r="C89" s="110">
        <f ca="1">VLOOKUP(B89,'Fuel and Mileage Auto Entries'!$J$4:$M$64,4,0)</f>
        <v>0</v>
      </c>
      <c r="D89" s="111">
        <f t="shared" ca="1" si="14"/>
        <v>0</v>
      </c>
      <c r="E89" s="112">
        <f t="shared" ca="1" si="18"/>
        <v>0</v>
      </c>
      <c r="F89" s="113">
        <f t="shared" ca="1" si="15"/>
        <v>0</v>
      </c>
      <c r="G89" s="61"/>
      <c r="H89" s="62" t="s">
        <v>23</v>
      </c>
      <c r="I89" s="63" t="s">
        <v>257</v>
      </c>
      <c r="J89" s="64">
        <f t="shared" ca="1" si="16"/>
        <v>0</v>
      </c>
      <c r="K89" s="65">
        <f t="shared" ca="1" si="17"/>
        <v>0</v>
      </c>
      <c r="L89" s="82"/>
      <c r="M89" s="52"/>
      <c r="N89" s="52"/>
      <c r="O89" s="52"/>
      <c r="P89" s="52"/>
      <c r="Q89" s="52"/>
      <c r="R89" s="52"/>
      <c r="S89" s="52"/>
    </row>
    <row r="90" spans="1:19" ht="19.95" customHeight="1" x14ac:dyDescent="0.3">
      <c r="A90" s="66" t="s">
        <v>109</v>
      </c>
      <c r="B90" s="67" t="s">
        <v>22</v>
      </c>
      <c r="C90" s="68">
        <f ca="1">VLOOKUP(B90,'Fuel and Mileage Auto Entries'!$J$4:$M$64,4,0)</f>
        <v>0</v>
      </c>
      <c r="D90" s="69">
        <f t="shared" ca="1" si="14"/>
        <v>0</v>
      </c>
      <c r="E90" s="70">
        <f t="shared" ca="1" si="18"/>
        <v>0</v>
      </c>
      <c r="F90" s="71">
        <f t="shared" ca="1" si="15"/>
        <v>0</v>
      </c>
      <c r="G90" s="61"/>
      <c r="H90" s="67" t="s">
        <v>22</v>
      </c>
      <c r="I90" s="72" t="s">
        <v>9</v>
      </c>
      <c r="J90" s="70">
        <f t="shared" ca="1" si="16"/>
        <v>9353</v>
      </c>
      <c r="K90" s="115">
        <f t="shared" ca="1" si="17"/>
        <v>0.13790713790713791</v>
      </c>
      <c r="L90" s="83"/>
      <c r="M90" s="179" t="s">
        <v>236</v>
      </c>
      <c r="N90" s="179"/>
      <c r="O90" s="179"/>
      <c r="P90" s="179"/>
      <c r="Q90" s="179"/>
      <c r="R90" s="179"/>
      <c r="S90" s="179"/>
    </row>
    <row r="91" spans="1:19" ht="19.95" customHeight="1" x14ac:dyDescent="0.3">
      <c r="A91" s="108" t="s">
        <v>110</v>
      </c>
      <c r="B91" s="109" t="s">
        <v>24</v>
      </c>
      <c r="C91" s="110">
        <f ca="1">VLOOKUP(B91,'Fuel and Mileage Auto Entries'!$J$4:$M$64,4,0)</f>
        <v>0</v>
      </c>
      <c r="D91" s="111">
        <f t="shared" ca="1" si="14"/>
        <v>0</v>
      </c>
      <c r="E91" s="112">
        <f t="shared" ca="1" si="18"/>
        <v>0</v>
      </c>
      <c r="F91" s="113">
        <f t="shared" ca="1" si="15"/>
        <v>0</v>
      </c>
      <c r="G91" s="61"/>
      <c r="H91" s="62" t="s">
        <v>24</v>
      </c>
      <c r="I91" s="63" t="s">
        <v>257</v>
      </c>
      <c r="J91" s="64">
        <f t="shared" ca="1" si="16"/>
        <v>0</v>
      </c>
      <c r="K91" s="65">
        <f t="shared" ca="1" si="17"/>
        <v>0</v>
      </c>
      <c r="L91" s="83"/>
      <c r="M91" s="179"/>
      <c r="N91" s="179"/>
      <c r="O91" s="179"/>
      <c r="P91" s="179"/>
      <c r="Q91" s="179"/>
      <c r="R91" s="179"/>
      <c r="S91" s="179"/>
    </row>
    <row r="92" spans="1:19" ht="19.95" customHeight="1" x14ac:dyDescent="0.3">
      <c r="A92" s="66" t="s">
        <v>108</v>
      </c>
      <c r="B92" s="67" t="s">
        <v>25</v>
      </c>
      <c r="C92" s="68">
        <f ca="1">VLOOKUP(B92,'Fuel and Mileage Auto Entries'!$J$4:$M$64,4,0)</f>
        <v>0</v>
      </c>
      <c r="D92" s="69">
        <f t="shared" ca="1" si="14"/>
        <v>0</v>
      </c>
      <c r="E92" s="70">
        <f t="shared" ca="1" si="18"/>
        <v>0</v>
      </c>
      <c r="F92" s="71">
        <f t="shared" ca="1" si="15"/>
        <v>0</v>
      </c>
      <c r="G92" s="61"/>
      <c r="H92" s="67" t="s">
        <v>25</v>
      </c>
      <c r="I92" s="72" t="s">
        <v>257</v>
      </c>
      <c r="J92" s="70">
        <f t="shared" ca="1" si="16"/>
        <v>0</v>
      </c>
      <c r="K92" s="115">
        <f t="shared" ca="1" si="17"/>
        <v>0</v>
      </c>
      <c r="L92" s="87"/>
      <c r="M92" s="185" t="s">
        <v>284</v>
      </c>
      <c r="N92" s="185" t="s">
        <v>289</v>
      </c>
      <c r="O92" s="186" t="s">
        <v>286</v>
      </c>
      <c r="P92" s="186" t="s">
        <v>287</v>
      </c>
      <c r="Q92" s="185" t="s">
        <v>290</v>
      </c>
      <c r="R92" s="185" t="s">
        <v>239</v>
      </c>
    </row>
    <row r="93" spans="1:19" ht="19.95" customHeight="1" x14ac:dyDescent="0.3">
      <c r="A93" s="108" t="s">
        <v>112</v>
      </c>
      <c r="B93" s="109" t="s">
        <v>26</v>
      </c>
      <c r="C93" s="110">
        <f ca="1">VLOOKUP(B93,'Fuel and Mileage Auto Entries'!$J$4:$M$64,4,0)</f>
        <v>0</v>
      </c>
      <c r="D93" s="111">
        <f t="shared" ca="1" si="14"/>
        <v>0</v>
      </c>
      <c r="E93" s="112">
        <f t="shared" ca="1" si="18"/>
        <v>0</v>
      </c>
      <c r="F93" s="113">
        <f t="shared" ca="1" si="15"/>
        <v>0</v>
      </c>
      <c r="G93" s="61"/>
      <c r="H93" s="62" t="s">
        <v>26</v>
      </c>
      <c r="I93" s="63" t="s">
        <v>257</v>
      </c>
      <c r="J93" s="64">
        <f t="shared" ca="1" si="16"/>
        <v>0</v>
      </c>
      <c r="K93" s="65">
        <f t="shared" ca="1" si="17"/>
        <v>0</v>
      </c>
      <c r="L93" s="51"/>
      <c r="M93" s="185"/>
      <c r="N93" s="185"/>
      <c r="O93" s="186"/>
      <c r="P93" s="186"/>
      <c r="Q93" s="185"/>
      <c r="R93" s="185"/>
    </row>
    <row r="94" spans="1:19" ht="19.95" customHeight="1" x14ac:dyDescent="0.3">
      <c r="A94" s="66" t="s">
        <v>113</v>
      </c>
      <c r="B94" s="67" t="s">
        <v>27</v>
      </c>
      <c r="C94" s="68">
        <f ca="1">VLOOKUP(B94,'Fuel and Mileage Auto Entries'!$J$4:$M$64,4,0)</f>
        <v>0</v>
      </c>
      <c r="D94" s="69">
        <f t="shared" ca="1" si="14"/>
        <v>0</v>
      </c>
      <c r="E94" s="70">
        <f t="shared" ca="1" si="18"/>
        <v>0</v>
      </c>
      <c r="F94" s="71">
        <f t="shared" ca="1" si="15"/>
        <v>0</v>
      </c>
      <c r="G94" s="61"/>
      <c r="H94" s="67" t="s">
        <v>27</v>
      </c>
      <c r="I94" s="72" t="s">
        <v>257</v>
      </c>
      <c r="J94" s="70">
        <f t="shared" ca="1" si="16"/>
        <v>0</v>
      </c>
      <c r="K94" s="115">
        <f t="shared" ca="1" si="17"/>
        <v>0</v>
      </c>
      <c r="L94" s="3"/>
      <c r="M94" s="87"/>
      <c r="N94" s="187" t="s">
        <v>291</v>
      </c>
      <c r="O94" s="87"/>
      <c r="P94" s="87"/>
      <c r="Q94" s="87"/>
      <c r="R94" s="87"/>
    </row>
    <row r="95" spans="1:19" ht="19.95" customHeight="1" x14ac:dyDescent="0.3">
      <c r="A95" s="108" t="s">
        <v>115</v>
      </c>
      <c r="B95" s="109" t="s">
        <v>28</v>
      </c>
      <c r="C95" s="110">
        <f ca="1">VLOOKUP(B95,'Fuel and Mileage Auto Entries'!$J$4:$M$64,4,0)</f>
        <v>0</v>
      </c>
      <c r="D95" s="111">
        <f t="shared" ca="1" si="14"/>
        <v>0</v>
      </c>
      <c r="E95" s="112">
        <f t="shared" ca="1" si="18"/>
        <v>0</v>
      </c>
      <c r="F95" s="113">
        <f t="shared" ca="1" si="15"/>
        <v>0</v>
      </c>
      <c r="G95" s="61"/>
      <c r="H95" s="62" t="s">
        <v>28</v>
      </c>
      <c r="I95" s="63" t="s">
        <v>257</v>
      </c>
      <c r="J95" s="64">
        <f t="shared" ca="1" si="16"/>
        <v>0</v>
      </c>
      <c r="K95" s="65">
        <f t="shared" ca="1" si="17"/>
        <v>0</v>
      </c>
      <c r="L95" s="3"/>
      <c r="M95" s="53"/>
      <c r="N95" s="188"/>
      <c r="O95" s="53"/>
      <c r="P95" s="53"/>
      <c r="Q95" s="53"/>
      <c r="R95" s="53"/>
      <c r="S95" s="3"/>
    </row>
    <row r="96" spans="1:19" ht="19.95" customHeight="1" x14ac:dyDescent="0.3">
      <c r="A96" s="66" t="s">
        <v>114</v>
      </c>
      <c r="B96" s="67" t="s">
        <v>29</v>
      </c>
      <c r="C96" s="68">
        <f ca="1">VLOOKUP(B96,'Fuel and Mileage Auto Entries'!$J$4:$M$64,4,0)</f>
        <v>0</v>
      </c>
      <c r="D96" s="69">
        <f t="shared" ca="1" si="14"/>
        <v>0</v>
      </c>
      <c r="E96" s="70">
        <f t="shared" ca="1" si="18"/>
        <v>0</v>
      </c>
      <c r="F96" s="71">
        <f t="shared" ca="1" si="15"/>
        <v>0</v>
      </c>
      <c r="G96" s="61"/>
      <c r="H96" s="67" t="s">
        <v>29</v>
      </c>
      <c r="I96" s="72" t="s">
        <v>257</v>
      </c>
      <c r="J96" s="70">
        <f t="shared" ca="1" si="16"/>
        <v>0</v>
      </c>
      <c r="K96" s="115">
        <f t="shared" ca="1" si="17"/>
        <v>0</v>
      </c>
      <c r="L96" s="3"/>
      <c r="M96" s="51">
        <f ca="1">C130</f>
        <v>230569</v>
      </c>
      <c r="N96" s="51">
        <f ca="1">M96-N88</f>
        <v>0</v>
      </c>
      <c r="O96" s="84">
        <f ca="1">N96*100/M96</f>
        <v>0</v>
      </c>
      <c r="P96" s="88">
        <f>100-P88</f>
        <v>61.234999999999999</v>
      </c>
      <c r="Q96" s="51">
        <f ca="1">(M96*P96)/100</f>
        <v>141188.92715</v>
      </c>
      <c r="R96" s="84">
        <f ca="1">IFERROR(P96/O96,0)</f>
        <v>0</v>
      </c>
      <c r="S96" s="3"/>
    </row>
    <row r="97" spans="1:19" ht="19.95" customHeight="1" x14ac:dyDescent="0.3">
      <c r="A97" s="108" t="s">
        <v>116</v>
      </c>
      <c r="B97" s="109" t="s">
        <v>30</v>
      </c>
      <c r="C97" s="110">
        <f ca="1">VLOOKUP(B97,'Fuel and Mileage Auto Entries'!$J$4:$M$64,4,0)</f>
        <v>0</v>
      </c>
      <c r="D97" s="111">
        <f t="shared" ca="1" si="14"/>
        <v>0</v>
      </c>
      <c r="E97" s="112">
        <f t="shared" ca="1" si="18"/>
        <v>0</v>
      </c>
      <c r="F97" s="113">
        <f t="shared" ca="1" si="15"/>
        <v>0</v>
      </c>
      <c r="G97" s="61"/>
      <c r="H97" s="62" t="s">
        <v>30</v>
      </c>
      <c r="I97" s="63" t="s">
        <v>257</v>
      </c>
      <c r="J97" s="64">
        <f t="shared" ca="1" si="16"/>
        <v>0</v>
      </c>
      <c r="K97" s="65">
        <f t="shared" ca="1" si="17"/>
        <v>0</v>
      </c>
      <c r="L97" s="3"/>
      <c r="M97" s="3"/>
      <c r="N97" s="3"/>
      <c r="O97" s="3"/>
      <c r="P97" s="3"/>
      <c r="Q97" s="3"/>
      <c r="R97" s="3"/>
      <c r="S97" s="3"/>
    </row>
    <row r="98" spans="1:19" ht="19.95" customHeight="1" x14ac:dyDescent="0.3">
      <c r="A98" s="66" t="s">
        <v>120</v>
      </c>
      <c r="B98" s="67" t="s">
        <v>31</v>
      </c>
      <c r="C98" s="68">
        <f ca="1">VLOOKUP(B98,'Fuel and Mileage Auto Entries'!$J$4:$M$64,4,0)</f>
        <v>0</v>
      </c>
      <c r="D98" s="69">
        <f t="shared" ca="1" si="14"/>
        <v>0</v>
      </c>
      <c r="E98" s="70">
        <f t="shared" ca="1" si="18"/>
        <v>0</v>
      </c>
      <c r="F98" s="71">
        <f t="shared" ca="1" si="15"/>
        <v>0</v>
      </c>
      <c r="G98" s="61"/>
      <c r="H98" s="67" t="s">
        <v>31</v>
      </c>
      <c r="I98" s="72" t="s">
        <v>257</v>
      </c>
      <c r="J98" s="70">
        <f t="shared" ca="1" si="16"/>
        <v>0</v>
      </c>
      <c r="K98" s="115">
        <f t="shared" ca="1" si="17"/>
        <v>0</v>
      </c>
      <c r="L98" s="3"/>
      <c r="M98" s="179" t="s">
        <v>292</v>
      </c>
      <c r="N98" s="179"/>
      <c r="O98" s="179"/>
      <c r="P98" s="179"/>
      <c r="Q98" s="179"/>
      <c r="R98" s="179"/>
      <c r="S98" s="179"/>
    </row>
    <row r="99" spans="1:19" ht="19.95" customHeight="1" x14ac:dyDescent="0.3">
      <c r="A99" s="108" t="s">
        <v>126</v>
      </c>
      <c r="B99" s="109" t="s">
        <v>32</v>
      </c>
      <c r="C99" s="110">
        <f ca="1">VLOOKUP(B99,'Fuel and Mileage Auto Entries'!$J$4:$M$64,4,0)</f>
        <v>0</v>
      </c>
      <c r="D99" s="111">
        <f t="shared" ca="1" si="14"/>
        <v>0</v>
      </c>
      <c r="E99" s="112">
        <f t="shared" ca="1" si="18"/>
        <v>0</v>
      </c>
      <c r="F99" s="113">
        <f t="shared" ca="1" si="15"/>
        <v>0</v>
      </c>
      <c r="G99" s="61"/>
      <c r="H99" s="62" t="s">
        <v>32</v>
      </c>
      <c r="I99" s="63" t="s">
        <v>257</v>
      </c>
      <c r="J99" s="64">
        <f t="shared" ca="1" si="16"/>
        <v>0</v>
      </c>
      <c r="K99" s="65">
        <f t="shared" ca="1" si="17"/>
        <v>0</v>
      </c>
      <c r="L99" s="3"/>
      <c r="M99" s="179"/>
      <c r="N99" s="179"/>
      <c r="O99" s="179"/>
      <c r="P99" s="179"/>
      <c r="Q99" s="179"/>
      <c r="R99" s="179"/>
      <c r="S99" s="179"/>
    </row>
    <row r="100" spans="1:19" ht="19.95" customHeight="1" x14ac:dyDescent="0.3">
      <c r="A100" s="66" t="s">
        <v>117</v>
      </c>
      <c r="B100" s="67" t="s">
        <v>55</v>
      </c>
      <c r="C100" s="68">
        <f ca="1">VLOOKUP(B100,'Fuel and Mileage Auto Entries'!$J$4:$M$64,4,0)</f>
        <v>0</v>
      </c>
      <c r="D100" s="69">
        <f t="shared" ca="1" si="14"/>
        <v>0</v>
      </c>
      <c r="E100" s="70">
        <f t="shared" ca="1" si="18"/>
        <v>0</v>
      </c>
      <c r="F100" s="71">
        <f t="shared" ca="1" si="15"/>
        <v>0</v>
      </c>
      <c r="G100" s="61"/>
      <c r="H100" s="67" t="s">
        <v>55</v>
      </c>
      <c r="I100" s="72" t="s">
        <v>9</v>
      </c>
      <c r="J100" s="70">
        <f t="shared" ca="1" si="16"/>
        <v>2567</v>
      </c>
      <c r="K100" s="115">
        <f t="shared" ca="1" si="17"/>
        <v>3.7849633594314445E-2</v>
      </c>
      <c r="L100" s="3"/>
      <c r="M100" s="189" t="s">
        <v>293</v>
      </c>
      <c r="N100" s="189" t="s">
        <v>214</v>
      </c>
      <c r="O100" s="189" t="s">
        <v>260</v>
      </c>
      <c r="P100" s="189" t="s">
        <v>261</v>
      </c>
      <c r="Q100" s="189" t="s">
        <v>262</v>
      </c>
      <c r="R100" s="189" t="s">
        <v>263</v>
      </c>
      <c r="S100" s="3"/>
    </row>
    <row r="101" spans="1:19" ht="19.95" customHeight="1" x14ac:dyDescent="0.3">
      <c r="A101" s="108" t="s">
        <v>122</v>
      </c>
      <c r="B101" s="109" t="s">
        <v>33</v>
      </c>
      <c r="C101" s="110">
        <f ca="1">VLOOKUP(B101,'Fuel and Mileage Auto Entries'!$J$4:$M$64,4,0)</f>
        <v>0</v>
      </c>
      <c r="D101" s="111">
        <f t="shared" ref="D101:D129" ca="1" si="19">IFERROR((IF(I101="CA",C101*$R$88,C101*$R$96)/$N$121),"")</f>
        <v>0</v>
      </c>
      <c r="E101" s="112">
        <f t="shared" ca="1" si="18"/>
        <v>0</v>
      </c>
      <c r="F101" s="113">
        <f t="shared" ref="F101:F129" ca="1" si="20">IFERROR(E101/$E$130,0)</f>
        <v>0</v>
      </c>
      <c r="G101" s="61"/>
      <c r="H101" s="62" t="s">
        <v>33</v>
      </c>
      <c r="I101" s="63" t="s">
        <v>257</v>
      </c>
      <c r="J101" s="64">
        <f t="shared" ref="J101:J129" ca="1" si="21">IFERROR(ROUND(IF(I101="US",E101,VLOOKUP(H101,$M$100:$R$111,6,0)),0),"")</f>
        <v>0</v>
      </c>
      <c r="K101" s="65">
        <f t="shared" ref="K101:K129" ca="1" si="22">IFERROR(J101/$J$130,0)</f>
        <v>0</v>
      </c>
      <c r="L101" s="3"/>
      <c r="M101" s="189"/>
      <c r="N101" s="189"/>
      <c r="O101" s="189"/>
      <c r="P101" s="189"/>
      <c r="Q101" s="189"/>
      <c r="R101" s="189"/>
      <c r="S101" s="3"/>
    </row>
    <row r="102" spans="1:19" ht="19.95" customHeight="1" x14ac:dyDescent="0.3">
      <c r="A102" s="66" t="s">
        <v>123</v>
      </c>
      <c r="B102" s="67" t="s">
        <v>34</v>
      </c>
      <c r="C102" s="68">
        <f ca="1">VLOOKUP(B102,'Fuel and Mileage Auto Entries'!$J$4:$M$64,4,0)</f>
        <v>0</v>
      </c>
      <c r="D102" s="69">
        <f t="shared" ca="1" si="19"/>
        <v>0</v>
      </c>
      <c r="E102" s="70">
        <f t="shared" ca="1" si="18"/>
        <v>0</v>
      </c>
      <c r="F102" s="71">
        <f t="shared" ca="1" si="20"/>
        <v>0</v>
      </c>
      <c r="G102" s="61"/>
      <c r="H102" s="67" t="s">
        <v>34</v>
      </c>
      <c r="I102" s="72" t="s">
        <v>257</v>
      </c>
      <c r="J102" s="70">
        <f t="shared" ca="1" si="21"/>
        <v>0</v>
      </c>
      <c r="K102" s="115">
        <f t="shared" ca="1" si="22"/>
        <v>0</v>
      </c>
      <c r="L102" s="3"/>
      <c r="M102" s="89" t="s">
        <v>4</v>
      </c>
      <c r="N102" s="90">
        <f t="shared" ref="N102:N111" ca="1" si="23">VLOOKUP(M102,$B$69:$D$129,3,0)</f>
        <v>0</v>
      </c>
      <c r="O102" s="120">
        <f t="shared" ref="O102:O111" ca="1" si="24">IFERROR((N102*100)/$N$112,"")</f>
        <v>0</v>
      </c>
      <c r="P102" s="121">
        <v>33.295999999999999</v>
      </c>
      <c r="Q102" s="91">
        <f ca="1">IFERROR(P102/O102,0)</f>
        <v>0</v>
      </c>
      <c r="R102" s="90">
        <f t="shared" ref="R102:R111" ca="1" si="25">IFERROR(($N$112*P102)/100,0)</f>
        <v>22582.040106408</v>
      </c>
      <c r="S102" s="3"/>
    </row>
    <row r="103" spans="1:19" ht="19.95" customHeight="1" x14ac:dyDescent="0.3">
      <c r="A103" s="108" t="s">
        <v>124</v>
      </c>
      <c r="B103" s="109" t="s">
        <v>36</v>
      </c>
      <c r="C103" s="110">
        <f ca="1">VLOOKUP(B103,'Fuel and Mileage Auto Entries'!$J$4:$M$64,4,0)</f>
        <v>0</v>
      </c>
      <c r="D103" s="111">
        <f t="shared" ca="1" si="19"/>
        <v>0</v>
      </c>
      <c r="E103" s="112">
        <f t="shared" ca="1" si="18"/>
        <v>0</v>
      </c>
      <c r="F103" s="113">
        <f t="shared" ca="1" si="20"/>
        <v>0</v>
      </c>
      <c r="G103" s="61"/>
      <c r="H103" s="62" t="s">
        <v>36</v>
      </c>
      <c r="I103" s="63" t="s">
        <v>257</v>
      </c>
      <c r="J103" s="64">
        <f t="shared" ca="1" si="21"/>
        <v>0</v>
      </c>
      <c r="K103" s="65">
        <f t="shared" ca="1" si="22"/>
        <v>0</v>
      </c>
      <c r="L103" s="3"/>
      <c r="M103" s="92" t="s">
        <v>8</v>
      </c>
      <c r="N103" s="93">
        <f t="shared" ca="1" si="23"/>
        <v>0</v>
      </c>
      <c r="O103" s="122">
        <f t="shared" ca="1" si="24"/>
        <v>0</v>
      </c>
      <c r="P103" s="123">
        <v>0</v>
      </c>
      <c r="Q103" s="94">
        <f t="shared" ref="Q103:Q111" ca="1" si="26">IFERROR(P103/O103,0)</f>
        <v>0</v>
      </c>
      <c r="R103" s="93">
        <f t="shared" ca="1" si="25"/>
        <v>0</v>
      </c>
      <c r="S103" s="3"/>
    </row>
    <row r="104" spans="1:19" ht="19.95" customHeight="1" x14ac:dyDescent="0.3">
      <c r="A104" s="66" t="s">
        <v>127</v>
      </c>
      <c r="B104" s="67" t="s">
        <v>35</v>
      </c>
      <c r="C104" s="68">
        <f ca="1">VLOOKUP(B104,'Fuel and Mileage Auto Entries'!$J$4:$M$64,4,0)</f>
        <v>0</v>
      </c>
      <c r="D104" s="69">
        <f t="shared" ca="1" si="19"/>
        <v>0</v>
      </c>
      <c r="E104" s="70">
        <f t="shared" ca="1" si="18"/>
        <v>0</v>
      </c>
      <c r="F104" s="71">
        <f t="shared" ca="1" si="20"/>
        <v>0</v>
      </c>
      <c r="G104" s="61"/>
      <c r="H104" s="67" t="s">
        <v>35</v>
      </c>
      <c r="I104" s="72" t="s">
        <v>257</v>
      </c>
      <c r="J104" s="70">
        <f t="shared" ca="1" si="21"/>
        <v>0</v>
      </c>
      <c r="K104" s="115">
        <f t="shared" ca="1" si="22"/>
        <v>0</v>
      </c>
      <c r="L104" s="3"/>
      <c r="M104" s="89" t="s">
        <v>22</v>
      </c>
      <c r="N104" s="90">
        <f t="shared" ca="1" si="23"/>
        <v>0</v>
      </c>
      <c r="O104" s="120">
        <f t="shared" ca="1" si="24"/>
        <v>0</v>
      </c>
      <c r="P104" s="121">
        <v>13.791</v>
      </c>
      <c r="Q104" s="91">
        <f t="shared" ca="1" si="26"/>
        <v>0</v>
      </c>
      <c r="R104" s="90">
        <f t="shared" ca="1" si="25"/>
        <v>9353.3431976055017</v>
      </c>
      <c r="S104" s="3"/>
    </row>
    <row r="105" spans="1:19" ht="19.95" customHeight="1" x14ac:dyDescent="0.3">
      <c r="A105" s="108" t="s">
        <v>121</v>
      </c>
      <c r="B105" s="109" t="s">
        <v>56</v>
      </c>
      <c r="C105" s="110">
        <f ca="1">VLOOKUP(B105,'Fuel and Mileage Auto Entries'!$J$4:$M$64,4,0)</f>
        <v>0</v>
      </c>
      <c r="D105" s="111">
        <f t="shared" ca="1" si="19"/>
        <v>0</v>
      </c>
      <c r="E105" s="112">
        <f t="shared" ca="1" si="18"/>
        <v>0</v>
      </c>
      <c r="F105" s="113">
        <f t="shared" ca="1" si="20"/>
        <v>0</v>
      </c>
      <c r="G105" s="61"/>
      <c r="H105" s="62" t="s">
        <v>56</v>
      </c>
      <c r="I105" s="63" t="s">
        <v>9</v>
      </c>
      <c r="J105" s="64">
        <f t="shared" ca="1" si="21"/>
        <v>0</v>
      </c>
      <c r="K105" s="65">
        <f t="shared" ca="1" si="22"/>
        <v>0</v>
      </c>
      <c r="L105" s="3"/>
      <c r="M105" s="92" t="s">
        <v>55</v>
      </c>
      <c r="N105" s="93">
        <f t="shared" ca="1" si="23"/>
        <v>0</v>
      </c>
      <c r="O105" s="122">
        <f t="shared" ca="1" si="24"/>
        <v>0</v>
      </c>
      <c r="P105" s="123">
        <v>3.7850000000000001</v>
      </c>
      <c r="Q105" s="94">
        <f t="shared" ca="1" si="26"/>
        <v>0</v>
      </c>
      <c r="R105" s="93">
        <f t="shared" ca="1" si="25"/>
        <v>2567.0657677425006</v>
      </c>
      <c r="S105" s="3"/>
    </row>
    <row r="106" spans="1:19" ht="19.95" customHeight="1" x14ac:dyDescent="0.3">
      <c r="A106" s="66" t="s">
        <v>118</v>
      </c>
      <c r="B106" s="67" t="s">
        <v>37</v>
      </c>
      <c r="C106" s="68">
        <f ca="1">VLOOKUP(B106,'Fuel and Mileage Auto Entries'!$J$4:$M$64,4,0)</f>
        <v>0</v>
      </c>
      <c r="D106" s="69">
        <f t="shared" ca="1" si="19"/>
        <v>0</v>
      </c>
      <c r="E106" s="70">
        <f t="shared" ca="1" si="18"/>
        <v>0</v>
      </c>
      <c r="F106" s="71">
        <f t="shared" ca="1" si="20"/>
        <v>0</v>
      </c>
      <c r="G106" s="61"/>
      <c r="H106" s="67" t="s">
        <v>37</v>
      </c>
      <c r="I106" s="72" t="s">
        <v>257</v>
      </c>
      <c r="J106" s="70">
        <f t="shared" ca="1" si="21"/>
        <v>0</v>
      </c>
      <c r="K106" s="115">
        <f t="shared" ca="1" si="22"/>
        <v>0</v>
      </c>
      <c r="L106" s="3"/>
      <c r="M106" s="89" t="s">
        <v>56</v>
      </c>
      <c r="N106" s="90">
        <f t="shared" ca="1" si="23"/>
        <v>0</v>
      </c>
      <c r="O106" s="120">
        <f t="shared" ca="1" si="24"/>
        <v>0</v>
      </c>
      <c r="P106" s="121">
        <v>0</v>
      </c>
      <c r="Q106" s="91">
        <f t="shared" ref="Q106" ca="1" si="27">IFERROR(P106/O106,0)</f>
        <v>0</v>
      </c>
      <c r="R106" s="90">
        <f t="shared" ca="1" si="25"/>
        <v>0</v>
      </c>
      <c r="S106" s="3"/>
    </row>
    <row r="107" spans="1:19" ht="19.95" customHeight="1" x14ac:dyDescent="0.3">
      <c r="A107" s="108" t="s">
        <v>119</v>
      </c>
      <c r="B107" s="109" t="s">
        <v>38</v>
      </c>
      <c r="C107" s="110">
        <f ca="1">VLOOKUP(B107,'Fuel and Mileage Auto Entries'!$J$4:$M$64,4,0)</f>
        <v>0</v>
      </c>
      <c r="D107" s="111">
        <f t="shared" ca="1" si="19"/>
        <v>0</v>
      </c>
      <c r="E107" s="112">
        <f t="shared" ca="1" si="18"/>
        <v>0</v>
      </c>
      <c r="F107" s="113">
        <f t="shared" ca="1" si="20"/>
        <v>0</v>
      </c>
      <c r="G107" s="61"/>
      <c r="H107" s="62" t="s">
        <v>38</v>
      </c>
      <c r="I107" s="63" t="s">
        <v>257</v>
      </c>
      <c r="J107" s="64">
        <f t="shared" ca="1" si="21"/>
        <v>0</v>
      </c>
      <c r="K107" s="65">
        <f t="shared" ca="1" si="22"/>
        <v>0</v>
      </c>
      <c r="L107" s="3"/>
      <c r="M107" s="92" t="s">
        <v>57</v>
      </c>
      <c r="N107" s="93">
        <f t="shared" ca="1" si="23"/>
        <v>0</v>
      </c>
      <c r="O107" s="122">
        <f t="shared" ca="1" si="24"/>
        <v>0</v>
      </c>
      <c r="P107" s="123">
        <v>0</v>
      </c>
      <c r="Q107" s="94">
        <f t="shared" ca="1" si="26"/>
        <v>0</v>
      </c>
      <c r="R107" s="93">
        <f t="shared" ca="1" si="25"/>
        <v>0</v>
      </c>
      <c r="S107" s="3"/>
    </row>
    <row r="108" spans="1:19" ht="19.95" customHeight="1" x14ac:dyDescent="0.3">
      <c r="A108" s="66" t="s">
        <v>125</v>
      </c>
      <c r="B108" s="67" t="s">
        <v>57</v>
      </c>
      <c r="C108" s="68">
        <f ca="1">VLOOKUP(B108,'Fuel and Mileage Auto Entries'!$J$4:$M$64,4,0)</f>
        <v>0</v>
      </c>
      <c r="D108" s="69">
        <f t="shared" ca="1" si="19"/>
        <v>0</v>
      </c>
      <c r="E108" s="70">
        <f t="shared" ca="1" si="18"/>
        <v>0</v>
      </c>
      <c r="F108" s="71">
        <f t="shared" ca="1" si="20"/>
        <v>0</v>
      </c>
      <c r="G108" s="61"/>
      <c r="H108" s="67" t="s">
        <v>57</v>
      </c>
      <c r="I108" s="72" t="s">
        <v>9</v>
      </c>
      <c r="J108" s="70">
        <f t="shared" ca="1" si="21"/>
        <v>0</v>
      </c>
      <c r="K108" s="115">
        <f t="shared" ca="1" si="22"/>
        <v>0</v>
      </c>
      <c r="L108" s="3"/>
      <c r="M108" s="89" t="s">
        <v>58</v>
      </c>
      <c r="N108" s="90">
        <f t="shared" ca="1" si="23"/>
        <v>67822.081050000008</v>
      </c>
      <c r="O108" s="120">
        <f t="shared" ca="1" si="24"/>
        <v>100</v>
      </c>
      <c r="P108" s="121">
        <v>38.085000000000001</v>
      </c>
      <c r="Q108" s="91">
        <f t="shared" ca="1" si="26"/>
        <v>0.38085000000000002</v>
      </c>
      <c r="R108" s="90">
        <f t="shared" ca="1" si="25"/>
        <v>25830.039567892505</v>
      </c>
      <c r="S108" s="3"/>
    </row>
    <row r="109" spans="1:19" ht="19.95" customHeight="1" x14ac:dyDescent="0.3">
      <c r="A109" s="108" t="s">
        <v>128</v>
      </c>
      <c r="B109" s="109" t="s">
        <v>39</v>
      </c>
      <c r="C109" s="110">
        <f ca="1">VLOOKUP(B109,'Fuel and Mileage Auto Entries'!$J$4:$M$64,4,0)</f>
        <v>0</v>
      </c>
      <c r="D109" s="111">
        <f t="shared" ca="1" si="19"/>
        <v>0</v>
      </c>
      <c r="E109" s="112">
        <f t="shared" ca="1" si="18"/>
        <v>0</v>
      </c>
      <c r="F109" s="113">
        <f t="shared" ca="1" si="20"/>
        <v>0</v>
      </c>
      <c r="G109" s="61"/>
      <c r="H109" s="62" t="s">
        <v>39</v>
      </c>
      <c r="I109" s="63" t="s">
        <v>257</v>
      </c>
      <c r="J109" s="64">
        <f t="shared" ca="1" si="21"/>
        <v>0</v>
      </c>
      <c r="K109" s="65">
        <f t="shared" ca="1" si="22"/>
        <v>0</v>
      </c>
      <c r="L109" s="3"/>
      <c r="M109" s="92" t="s">
        <v>59</v>
      </c>
      <c r="N109" s="93">
        <f t="shared" ca="1" si="23"/>
        <v>0</v>
      </c>
      <c r="O109" s="122">
        <f t="shared" ca="1" si="24"/>
        <v>0</v>
      </c>
      <c r="P109" s="123">
        <v>0</v>
      </c>
      <c r="Q109" s="94">
        <f t="shared" ca="1" si="26"/>
        <v>0</v>
      </c>
      <c r="R109" s="93">
        <f t="shared" ca="1" si="25"/>
        <v>0</v>
      </c>
      <c r="S109" s="3"/>
    </row>
    <row r="110" spans="1:19" ht="19.95" customHeight="1" x14ac:dyDescent="0.3">
      <c r="A110" s="66" t="s">
        <v>129</v>
      </c>
      <c r="B110" s="67" t="s">
        <v>40</v>
      </c>
      <c r="C110" s="68">
        <f ca="1">VLOOKUP(B110,'Fuel and Mileage Auto Entries'!$J$4:$M$64,4,0)</f>
        <v>0</v>
      </c>
      <c r="D110" s="69">
        <f t="shared" ca="1" si="19"/>
        <v>0</v>
      </c>
      <c r="E110" s="70">
        <f t="shared" ca="1" si="18"/>
        <v>0</v>
      </c>
      <c r="F110" s="71">
        <f t="shared" ca="1" si="20"/>
        <v>0</v>
      </c>
      <c r="G110" s="61"/>
      <c r="H110" s="67" t="s">
        <v>40</v>
      </c>
      <c r="I110" s="72" t="s">
        <v>257</v>
      </c>
      <c r="J110" s="70">
        <f t="shared" ca="1" si="21"/>
        <v>0</v>
      </c>
      <c r="K110" s="115">
        <f t="shared" ca="1" si="22"/>
        <v>0</v>
      </c>
      <c r="L110" s="3"/>
      <c r="M110" s="89" t="s">
        <v>60</v>
      </c>
      <c r="N110" s="90">
        <f t="shared" ca="1" si="23"/>
        <v>0</v>
      </c>
      <c r="O110" s="120">
        <f t="shared" ca="1" si="24"/>
        <v>0</v>
      </c>
      <c r="P110" s="121">
        <v>1.4690000000000001</v>
      </c>
      <c r="Q110" s="91">
        <f t="shared" ca="1" si="26"/>
        <v>0</v>
      </c>
      <c r="R110" s="90">
        <f t="shared" ca="1" si="25"/>
        <v>996.30637062450012</v>
      </c>
      <c r="S110" s="3"/>
    </row>
    <row r="111" spans="1:19" ht="19.95" customHeight="1" x14ac:dyDescent="0.3">
      <c r="A111" s="108" t="s">
        <v>130</v>
      </c>
      <c r="B111" s="109" t="s">
        <v>58</v>
      </c>
      <c r="C111" s="110">
        <f ca="1">VLOOKUP(B111,'Fuel and Mileage Auto Entries'!$J$4:$M$64,4,0)</f>
        <v>230569</v>
      </c>
      <c r="D111" s="111">
        <f t="shared" ca="1" si="19"/>
        <v>67822.081050000008</v>
      </c>
      <c r="E111" s="112">
        <f t="shared" ca="1" si="18"/>
        <v>67822</v>
      </c>
      <c r="F111" s="113">
        <f t="shared" ca="1" si="20"/>
        <v>1</v>
      </c>
      <c r="G111" s="61"/>
      <c r="H111" s="62" t="s">
        <v>58</v>
      </c>
      <c r="I111" s="63" t="s">
        <v>9</v>
      </c>
      <c r="J111" s="64">
        <f t="shared" ca="1" si="21"/>
        <v>25830</v>
      </c>
      <c r="K111" s="65">
        <f t="shared" ca="1" si="22"/>
        <v>0.38085548723846596</v>
      </c>
      <c r="L111" s="3"/>
      <c r="M111" s="92" t="s">
        <v>61</v>
      </c>
      <c r="N111" s="93">
        <f t="shared" ca="1" si="23"/>
        <v>0</v>
      </c>
      <c r="O111" s="122">
        <f t="shared" ca="1" si="24"/>
        <v>0</v>
      </c>
      <c r="P111" s="123">
        <v>9.5739999999999998</v>
      </c>
      <c r="Q111" s="94">
        <f t="shared" ca="1" si="26"/>
        <v>0</v>
      </c>
      <c r="R111" s="93">
        <f t="shared" ca="1" si="25"/>
        <v>6493.2860397270006</v>
      </c>
      <c r="S111" s="3"/>
    </row>
    <row r="112" spans="1:19" ht="19.95" customHeight="1" x14ac:dyDescent="0.3">
      <c r="A112" s="66" t="s">
        <v>131</v>
      </c>
      <c r="B112" s="67" t="s">
        <v>41</v>
      </c>
      <c r="C112" s="68">
        <f ca="1">VLOOKUP(B112,'Fuel and Mileage Auto Entries'!$J$4:$M$64,4,0)</f>
        <v>0</v>
      </c>
      <c r="D112" s="69">
        <f t="shared" ca="1" si="19"/>
        <v>0</v>
      </c>
      <c r="E112" s="70">
        <f t="shared" ca="1" si="18"/>
        <v>0</v>
      </c>
      <c r="F112" s="71">
        <f t="shared" ca="1" si="20"/>
        <v>0</v>
      </c>
      <c r="G112" s="61"/>
      <c r="H112" s="67" t="s">
        <v>41</v>
      </c>
      <c r="I112" s="72" t="s">
        <v>257</v>
      </c>
      <c r="J112" s="70">
        <f t="shared" ca="1" si="21"/>
        <v>0</v>
      </c>
      <c r="K112" s="115">
        <f t="shared" ca="1" si="22"/>
        <v>0</v>
      </c>
      <c r="L112" s="3"/>
      <c r="M112" s="95" t="s">
        <v>264</v>
      </c>
      <c r="N112" s="96">
        <f ca="1">SUM(N102:N111)</f>
        <v>67822.081050000008</v>
      </c>
      <c r="O112" s="124">
        <f ca="1">SUM(O102:O111)</f>
        <v>100</v>
      </c>
      <c r="P112" s="124">
        <f>SUM(P102:P111)</f>
        <v>99.999999999999986</v>
      </c>
      <c r="Q112" s="97">
        <f ca="1">SUM(Q102:Q111)</f>
        <v>0.38085000000000002</v>
      </c>
      <c r="R112" s="96">
        <f ca="1">SUM(R102:R111)</f>
        <v>67822.081050000008</v>
      </c>
      <c r="S112" s="3"/>
    </row>
    <row r="113" spans="1:19" ht="19.95" customHeight="1" x14ac:dyDescent="0.3">
      <c r="A113" s="108" t="s">
        <v>132</v>
      </c>
      <c r="B113" s="109" t="s">
        <v>42</v>
      </c>
      <c r="C113" s="110">
        <f ca="1">VLOOKUP(B113,'Fuel and Mileage Auto Entries'!$J$4:$M$64,4,0)</f>
        <v>0</v>
      </c>
      <c r="D113" s="111">
        <f t="shared" ca="1" si="19"/>
        <v>0</v>
      </c>
      <c r="E113" s="112">
        <f t="shared" ca="1" si="18"/>
        <v>0</v>
      </c>
      <c r="F113" s="113">
        <f t="shared" ca="1" si="20"/>
        <v>0</v>
      </c>
      <c r="G113" s="61"/>
      <c r="H113" s="62" t="s">
        <v>42</v>
      </c>
      <c r="I113" s="63" t="s">
        <v>257</v>
      </c>
      <c r="J113" s="64">
        <f t="shared" ca="1" si="21"/>
        <v>0</v>
      </c>
      <c r="K113" s="65">
        <f t="shared" ca="1" si="22"/>
        <v>0</v>
      </c>
      <c r="L113" s="3"/>
      <c r="M113" s="3"/>
      <c r="N113" s="3"/>
      <c r="O113" s="3"/>
      <c r="P113" s="3"/>
      <c r="Q113" s="3"/>
      <c r="R113" s="3"/>
      <c r="S113" s="3"/>
    </row>
    <row r="114" spans="1:19" ht="19.95" customHeight="1" x14ac:dyDescent="0.3">
      <c r="A114" s="66" t="s">
        <v>133</v>
      </c>
      <c r="B114" s="67" t="s">
        <v>59</v>
      </c>
      <c r="C114" s="68">
        <f ca="1">VLOOKUP(B114,'Fuel and Mileage Auto Entries'!$J$4:$M$64,4,0)</f>
        <v>0</v>
      </c>
      <c r="D114" s="69">
        <f t="shared" ca="1" si="19"/>
        <v>0</v>
      </c>
      <c r="E114" s="70">
        <f t="shared" ca="1" si="18"/>
        <v>0</v>
      </c>
      <c r="F114" s="71">
        <f t="shared" ca="1" si="20"/>
        <v>0</v>
      </c>
      <c r="G114" s="61"/>
      <c r="H114" s="67" t="s">
        <v>59</v>
      </c>
      <c r="I114" s="72" t="s">
        <v>9</v>
      </c>
      <c r="J114" s="70">
        <f t="shared" ca="1" si="21"/>
        <v>0</v>
      </c>
      <c r="K114" s="115">
        <f t="shared" ca="1" si="22"/>
        <v>0</v>
      </c>
      <c r="L114" s="3"/>
      <c r="M114" s="3"/>
      <c r="N114" s="3"/>
      <c r="O114" s="3"/>
      <c r="P114" s="3"/>
      <c r="Q114" s="3"/>
      <c r="R114" s="3"/>
      <c r="S114" s="3"/>
    </row>
    <row r="115" spans="1:19" ht="19.95" customHeight="1" x14ac:dyDescent="0.3">
      <c r="A115" s="108" t="s">
        <v>134</v>
      </c>
      <c r="B115" s="109" t="s">
        <v>60</v>
      </c>
      <c r="C115" s="110">
        <f ca="1">VLOOKUP(B115,'Fuel and Mileage Auto Entries'!$J$4:$M$64,4,0)</f>
        <v>0</v>
      </c>
      <c r="D115" s="111">
        <f t="shared" ca="1" si="19"/>
        <v>0</v>
      </c>
      <c r="E115" s="112">
        <f t="shared" ca="1" si="18"/>
        <v>0</v>
      </c>
      <c r="F115" s="113">
        <f t="shared" ca="1" si="20"/>
        <v>0</v>
      </c>
      <c r="G115" s="61"/>
      <c r="H115" s="62" t="s">
        <v>60</v>
      </c>
      <c r="I115" s="63" t="s">
        <v>9</v>
      </c>
      <c r="J115" s="64">
        <f t="shared" ca="1" si="21"/>
        <v>996</v>
      </c>
      <c r="K115" s="65">
        <f t="shared" ca="1" si="22"/>
        <v>1.4685716813376389E-2</v>
      </c>
      <c r="L115" s="3"/>
      <c r="M115" s="190" t="s">
        <v>294</v>
      </c>
      <c r="N115" s="191">
        <f ca="1">C130</f>
        <v>230569</v>
      </c>
      <c r="O115" s="3"/>
      <c r="P115" s="3"/>
      <c r="Q115" s="3"/>
      <c r="R115" s="3"/>
      <c r="S115" s="3"/>
    </row>
    <row r="116" spans="1:19" ht="19.95" customHeight="1" x14ac:dyDescent="0.3">
      <c r="A116" s="66" t="s">
        <v>135</v>
      </c>
      <c r="B116" s="67" t="s">
        <v>43</v>
      </c>
      <c r="C116" s="68">
        <f ca="1">VLOOKUP(B116,'Fuel and Mileage Auto Entries'!$J$4:$M$64,4,0)</f>
        <v>0</v>
      </c>
      <c r="D116" s="69">
        <f t="shared" ca="1" si="19"/>
        <v>0</v>
      </c>
      <c r="E116" s="70">
        <f t="shared" ca="1" si="18"/>
        <v>0</v>
      </c>
      <c r="F116" s="71">
        <f t="shared" ca="1" si="20"/>
        <v>0</v>
      </c>
      <c r="G116" s="61"/>
      <c r="H116" s="67" t="s">
        <v>43</v>
      </c>
      <c r="I116" s="72" t="s">
        <v>257</v>
      </c>
      <c r="J116" s="70">
        <f t="shared" ca="1" si="21"/>
        <v>0</v>
      </c>
      <c r="K116" s="115">
        <f t="shared" ca="1" si="22"/>
        <v>0</v>
      </c>
      <c r="L116" s="3"/>
      <c r="M116" s="190"/>
      <c r="N116" s="191"/>
      <c r="O116" s="3"/>
      <c r="P116" s="3"/>
      <c r="Q116" s="3"/>
      <c r="R116" s="3"/>
      <c r="S116" s="3"/>
    </row>
    <row r="117" spans="1:19" ht="19.95" customHeight="1" x14ac:dyDescent="0.3">
      <c r="A117" s="108" t="s">
        <v>138</v>
      </c>
      <c r="B117" s="109" t="s">
        <v>61</v>
      </c>
      <c r="C117" s="110">
        <f ca="1">VLOOKUP(B117,'Fuel and Mileage Auto Entries'!$J$4:$M$64,4,0)</f>
        <v>0</v>
      </c>
      <c r="D117" s="111">
        <f t="shared" ca="1" si="19"/>
        <v>0</v>
      </c>
      <c r="E117" s="112">
        <f t="shared" ca="1" si="18"/>
        <v>0</v>
      </c>
      <c r="F117" s="113">
        <f t="shared" ca="1" si="20"/>
        <v>0</v>
      </c>
      <c r="G117" s="61"/>
      <c r="H117" s="62" t="s">
        <v>61</v>
      </c>
      <c r="I117" s="63" t="s">
        <v>9</v>
      </c>
      <c r="J117" s="64">
        <f t="shared" ca="1" si="21"/>
        <v>6493</v>
      </c>
      <c r="K117" s="65">
        <f t="shared" ca="1" si="22"/>
        <v>9.573730850326595E-2</v>
      </c>
      <c r="L117" s="3"/>
      <c r="M117" s="3"/>
      <c r="N117" s="98"/>
      <c r="O117" s="3"/>
      <c r="P117" s="3"/>
      <c r="Q117" s="3"/>
      <c r="R117" s="3"/>
      <c r="S117" s="3"/>
    </row>
    <row r="118" spans="1:19" ht="19.95" customHeight="1" x14ac:dyDescent="0.3">
      <c r="A118" s="66" t="s">
        <v>136</v>
      </c>
      <c r="B118" s="67" t="s">
        <v>44</v>
      </c>
      <c r="C118" s="68">
        <f ca="1">VLOOKUP(B118,'Fuel and Mileage Auto Entries'!$J$4:$M$64,4,0)</f>
        <v>0</v>
      </c>
      <c r="D118" s="69">
        <f t="shared" ca="1" si="19"/>
        <v>0</v>
      </c>
      <c r="E118" s="70">
        <f t="shared" ca="1" si="18"/>
        <v>0</v>
      </c>
      <c r="F118" s="71">
        <f t="shared" ca="1" si="20"/>
        <v>0</v>
      </c>
      <c r="G118" s="61"/>
      <c r="H118" s="67" t="s">
        <v>44</v>
      </c>
      <c r="I118" s="72" t="s">
        <v>257</v>
      </c>
      <c r="J118" s="70">
        <f t="shared" ca="1" si="21"/>
        <v>0</v>
      </c>
      <c r="K118" s="115">
        <f t="shared" ca="1" si="22"/>
        <v>0</v>
      </c>
      <c r="L118" s="3"/>
      <c r="M118" s="190" t="s">
        <v>295</v>
      </c>
      <c r="N118" s="191">
        <v>174957</v>
      </c>
      <c r="O118" s="3"/>
      <c r="P118" s="192" t="s">
        <v>267</v>
      </c>
      <c r="Q118" s="194">
        <f>Q182</f>
        <v>0</v>
      </c>
      <c r="R118" s="3"/>
      <c r="S118" s="3"/>
    </row>
    <row r="119" spans="1:19" ht="19.95" customHeight="1" x14ac:dyDescent="0.3">
      <c r="A119" s="108" t="s">
        <v>137</v>
      </c>
      <c r="B119" s="109" t="s">
        <v>45</v>
      </c>
      <c r="C119" s="110">
        <f ca="1">VLOOKUP(B119,'Fuel and Mileage Auto Entries'!$J$4:$M$64,4,0)</f>
        <v>0</v>
      </c>
      <c r="D119" s="111">
        <f t="shared" ca="1" si="19"/>
        <v>0</v>
      </c>
      <c r="E119" s="112">
        <f t="shared" ca="1" si="18"/>
        <v>0</v>
      </c>
      <c r="F119" s="113">
        <f t="shared" ca="1" si="20"/>
        <v>0</v>
      </c>
      <c r="G119" s="61"/>
      <c r="H119" s="62" t="s">
        <v>45</v>
      </c>
      <c r="I119" s="63" t="s">
        <v>257</v>
      </c>
      <c r="J119" s="64">
        <f t="shared" ca="1" si="21"/>
        <v>0</v>
      </c>
      <c r="K119" s="65">
        <f t="shared" ca="1" si="22"/>
        <v>0</v>
      </c>
      <c r="L119" s="3"/>
      <c r="M119" s="190"/>
      <c r="N119" s="191"/>
      <c r="O119" s="3"/>
      <c r="P119" s="192"/>
      <c r="Q119" s="194"/>
      <c r="R119" s="3"/>
      <c r="S119" s="3"/>
    </row>
    <row r="120" spans="1:19" ht="19.95" customHeight="1" x14ac:dyDescent="0.3">
      <c r="A120" s="66" t="s">
        <v>139</v>
      </c>
      <c r="B120" s="67" t="s">
        <v>46</v>
      </c>
      <c r="C120" s="68">
        <f ca="1">VLOOKUP(B120,'Fuel and Mileage Auto Entries'!$J$4:$M$64,4,0)</f>
        <v>0</v>
      </c>
      <c r="D120" s="69">
        <f t="shared" ca="1" si="19"/>
        <v>0</v>
      </c>
      <c r="E120" s="70">
        <f t="shared" ca="1" si="18"/>
        <v>0</v>
      </c>
      <c r="F120" s="71">
        <f t="shared" ca="1" si="20"/>
        <v>0</v>
      </c>
      <c r="G120" s="61"/>
      <c r="H120" s="67" t="s">
        <v>46</v>
      </c>
      <c r="I120" s="72" t="s">
        <v>257</v>
      </c>
      <c r="J120" s="70">
        <f t="shared" ca="1" si="21"/>
        <v>0</v>
      </c>
      <c r="K120" s="115">
        <f t="shared" ca="1" si="22"/>
        <v>0</v>
      </c>
      <c r="L120" s="3"/>
      <c r="M120" s="3"/>
      <c r="N120" s="98"/>
      <c r="O120" s="3"/>
      <c r="P120" s="3"/>
      <c r="Q120" s="3"/>
      <c r="R120" s="3"/>
      <c r="S120" s="3"/>
    </row>
    <row r="121" spans="1:19" ht="19.95" customHeight="1" x14ac:dyDescent="0.3">
      <c r="A121" s="108" t="s">
        <v>140</v>
      </c>
      <c r="B121" s="109" t="s">
        <v>47</v>
      </c>
      <c r="C121" s="110">
        <f ca="1">VLOOKUP(B121,'Fuel and Mileage Auto Entries'!$J$4:$M$64,4,0)</f>
        <v>0</v>
      </c>
      <c r="D121" s="111">
        <f t="shared" ca="1" si="19"/>
        <v>0</v>
      </c>
      <c r="E121" s="112">
        <f t="shared" ca="1" si="18"/>
        <v>0</v>
      </c>
      <c r="F121" s="113">
        <f t="shared" ca="1" si="20"/>
        <v>0</v>
      </c>
      <c r="G121" s="61"/>
      <c r="H121" s="62" t="s">
        <v>47</v>
      </c>
      <c r="I121" s="63" t="s">
        <v>257</v>
      </c>
      <c r="J121" s="64">
        <f t="shared" ca="1" si="21"/>
        <v>0</v>
      </c>
      <c r="K121" s="65">
        <f t="shared" ca="1" si="22"/>
        <v>0</v>
      </c>
      <c r="L121" s="3"/>
      <c r="M121" s="192" t="s">
        <v>262</v>
      </c>
      <c r="N121" s="193">
        <f ca="1">N115/N118</f>
        <v>1.3178609601216298</v>
      </c>
      <c r="O121" s="3"/>
      <c r="P121" s="3"/>
      <c r="Q121" s="3"/>
      <c r="R121" s="3"/>
      <c r="S121" s="3"/>
    </row>
    <row r="122" spans="1:19" ht="19.95" customHeight="1" x14ac:dyDescent="0.3">
      <c r="A122" s="66" t="s">
        <v>141</v>
      </c>
      <c r="B122" s="67" t="s">
        <v>48</v>
      </c>
      <c r="C122" s="68">
        <f ca="1">VLOOKUP(B122,'Fuel and Mileage Auto Entries'!$J$4:$M$64,4,0)</f>
        <v>0</v>
      </c>
      <c r="D122" s="69">
        <f t="shared" ca="1" si="19"/>
        <v>0</v>
      </c>
      <c r="E122" s="70">
        <f t="shared" ca="1" si="18"/>
        <v>0</v>
      </c>
      <c r="F122" s="71">
        <f t="shared" ca="1" si="20"/>
        <v>0</v>
      </c>
      <c r="G122" s="61"/>
      <c r="H122" s="67" t="s">
        <v>48</v>
      </c>
      <c r="I122" s="72" t="s">
        <v>257</v>
      </c>
      <c r="J122" s="70">
        <f t="shared" ca="1" si="21"/>
        <v>0</v>
      </c>
      <c r="K122" s="115">
        <f t="shared" ca="1" si="22"/>
        <v>0</v>
      </c>
      <c r="L122" s="3"/>
      <c r="M122" s="192"/>
      <c r="N122" s="193"/>
      <c r="O122" s="3"/>
      <c r="P122" s="3"/>
      <c r="Q122" s="3"/>
      <c r="R122" s="3"/>
      <c r="S122" s="3"/>
    </row>
    <row r="123" spans="1:19" ht="19.95" customHeight="1" x14ac:dyDescent="0.3">
      <c r="A123" s="108" t="s">
        <v>143</v>
      </c>
      <c r="B123" s="109" t="s">
        <v>49</v>
      </c>
      <c r="C123" s="110">
        <f ca="1">VLOOKUP(B123,'Fuel and Mileage Auto Entries'!$J$4:$M$64,4,0)</f>
        <v>0</v>
      </c>
      <c r="D123" s="111">
        <f t="shared" ca="1" si="19"/>
        <v>0</v>
      </c>
      <c r="E123" s="112">
        <f t="shared" ca="1" si="18"/>
        <v>0</v>
      </c>
      <c r="F123" s="113">
        <f t="shared" ca="1" si="20"/>
        <v>0</v>
      </c>
      <c r="G123" s="61"/>
      <c r="H123" s="62" t="s">
        <v>49</v>
      </c>
      <c r="I123" s="63" t="s">
        <v>257</v>
      </c>
      <c r="J123" s="64">
        <f t="shared" ca="1" si="21"/>
        <v>0</v>
      </c>
      <c r="K123" s="65">
        <f t="shared" ca="1" si="22"/>
        <v>0</v>
      </c>
      <c r="L123" s="3"/>
      <c r="M123" s="3"/>
      <c r="N123" s="3"/>
      <c r="O123" s="3"/>
      <c r="P123" s="3"/>
      <c r="Q123" s="3"/>
      <c r="R123" s="3"/>
      <c r="S123" s="3"/>
    </row>
    <row r="124" spans="1:19" ht="19.95" customHeight="1" x14ac:dyDescent="0.3">
      <c r="A124" s="66" t="s">
        <v>142</v>
      </c>
      <c r="B124" s="67" t="s">
        <v>50</v>
      </c>
      <c r="C124" s="68">
        <f ca="1">VLOOKUP(B124,'Fuel and Mileage Auto Entries'!$J$4:$M$64,4,0)</f>
        <v>0</v>
      </c>
      <c r="D124" s="69">
        <f t="shared" ca="1" si="19"/>
        <v>0</v>
      </c>
      <c r="E124" s="70">
        <f t="shared" ca="1" si="18"/>
        <v>0</v>
      </c>
      <c r="F124" s="71">
        <f t="shared" ca="1" si="20"/>
        <v>0</v>
      </c>
      <c r="G124" s="61"/>
      <c r="H124" s="67" t="s">
        <v>50</v>
      </c>
      <c r="I124" s="72" t="s">
        <v>257</v>
      </c>
      <c r="J124" s="70">
        <f t="shared" ca="1" si="21"/>
        <v>0</v>
      </c>
      <c r="K124" s="115">
        <f t="shared" ca="1" si="22"/>
        <v>0</v>
      </c>
      <c r="L124" s="3"/>
      <c r="M124" s="3"/>
      <c r="N124" s="3"/>
      <c r="O124" s="3"/>
      <c r="P124" s="3"/>
      <c r="Q124" s="3"/>
      <c r="R124" s="3"/>
      <c r="S124" s="3"/>
    </row>
    <row r="125" spans="1:19" ht="19.95" customHeight="1" x14ac:dyDescent="0.3">
      <c r="A125" s="108" t="s">
        <v>142</v>
      </c>
      <c r="B125" s="109" t="s">
        <v>219</v>
      </c>
      <c r="C125" s="110">
        <f ca="1">VLOOKUP(B125,'Fuel and Mileage Auto Entries'!$J$4:$M$64,4,0)</f>
        <v>0</v>
      </c>
      <c r="D125" s="111">
        <f t="shared" ca="1" si="19"/>
        <v>0</v>
      </c>
      <c r="E125" s="112">
        <f t="shared" ca="1" si="18"/>
        <v>0</v>
      </c>
      <c r="F125" s="113">
        <f t="shared" ca="1" si="20"/>
        <v>0</v>
      </c>
      <c r="G125" s="61"/>
      <c r="H125" s="62" t="s">
        <v>50</v>
      </c>
      <c r="I125" s="63" t="s">
        <v>257</v>
      </c>
      <c r="J125" s="64">
        <f t="shared" ca="1" si="21"/>
        <v>0</v>
      </c>
      <c r="K125" s="65">
        <f t="shared" ca="1" si="22"/>
        <v>0</v>
      </c>
      <c r="L125" s="3"/>
      <c r="M125" s="3"/>
      <c r="N125" s="3"/>
      <c r="O125" s="3"/>
      <c r="P125" s="3"/>
      <c r="Q125" s="3"/>
      <c r="R125" s="3"/>
      <c r="S125" s="3"/>
    </row>
    <row r="126" spans="1:19" ht="19.95" customHeight="1" x14ac:dyDescent="0.3">
      <c r="A126" s="66" t="s">
        <v>144</v>
      </c>
      <c r="B126" s="67" t="s">
        <v>51</v>
      </c>
      <c r="C126" s="68">
        <f ca="1">VLOOKUP(B126,'Fuel and Mileage Auto Entries'!$J$4:$M$64,4,0)</f>
        <v>0</v>
      </c>
      <c r="D126" s="69">
        <f t="shared" ca="1" si="19"/>
        <v>0</v>
      </c>
      <c r="E126" s="70">
        <f t="shared" ca="1" si="18"/>
        <v>0</v>
      </c>
      <c r="F126" s="71">
        <f t="shared" ca="1" si="20"/>
        <v>0</v>
      </c>
      <c r="G126" s="61"/>
      <c r="H126" s="67" t="s">
        <v>51</v>
      </c>
      <c r="I126" s="72" t="s">
        <v>257</v>
      </c>
      <c r="J126" s="70">
        <f t="shared" ca="1" si="21"/>
        <v>0</v>
      </c>
      <c r="K126" s="115">
        <f t="shared" ca="1" si="22"/>
        <v>0</v>
      </c>
      <c r="L126" s="3"/>
      <c r="M126" s="3"/>
      <c r="N126" s="3"/>
      <c r="O126" s="3"/>
      <c r="P126" s="3"/>
      <c r="Q126" s="3"/>
      <c r="R126" s="3"/>
      <c r="S126" s="3"/>
    </row>
    <row r="127" spans="1:19" ht="19.95" customHeight="1" x14ac:dyDescent="0.3">
      <c r="A127" s="108" t="s">
        <v>146</v>
      </c>
      <c r="B127" s="109" t="s">
        <v>53</v>
      </c>
      <c r="C127" s="110">
        <f ca="1">VLOOKUP(B127,'Fuel and Mileage Auto Entries'!$J$4:$M$64,4,0)</f>
        <v>0</v>
      </c>
      <c r="D127" s="111">
        <f t="shared" ca="1" si="19"/>
        <v>0</v>
      </c>
      <c r="E127" s="112">
        <f t="shared" ca="1" si="18"/>
        <v>0</v>
      </c>
      <c r="F127" s="113">
        <f t="shared" ca="1" si="20"/>
        <v>0</v>
      </c>
      <c r="G127" s="61"/>
      <c r="H127" s="62" t="s">
        <v>53</v>
      </c>
      <c r="I127" s="63" t="s">
        <v>257</v>
      </c>
      <c r="J127" s="64">
        <f t="shared" ca="1" si="21"/>
        <v>0</v>
      </c>
      <c r="K127" s="65">
        <f t="shared" ca="1" si="22"/>
        <v>0</v>
      </c>
      <c r="L127" s="3"/>
      <c r="M127" s="3"/>
      <c r="N127" s="3"/>
      <c r="O127" s="3"/>
      <c r="P127" s="3"/>
      <c r="Q127" s="3"/>
      <c r="R127" s="3"/>
      <c r="S127" s="3"/>
    </row>
    <row r="128" spans="1:19" ht="19.95" customHeight="1" x14ac:dyDescent="0.3">
      <c r="A128" s="66" t="s">
        <v>145</v>
      </c>
      <c r="B128" s="67" t="s">
        <v>52</v>
      </c>
      <c r="C128" s="68">
        <f ca="1">VLOOKUP(B128,'Fuel and Mileage Auto Entries'!$J$4:$M$64,4,0)</f>
        <v>0</v>
      </c>
      <c r="D128" s="69">
        <f t="shared" ca="1" si="19"/>
        <v>0</v>
      </c>
      <c r="E128" s="70">
        <f t="shared" ca="1" si="18"/>
        <v>0</v>
      </c>
      <c r="F128" s="71">
        <f t="shared" ca="1" si="20"/>
        <v>0</v>
      </c>
      <c r="G128" s="61"/>
      <c r="H128" s="67" t="s">
        <v>52</v>
      </c>
      <c r="I128" s="72" t="s">
        <v>257</v>
      </c>
      <c r="J128" s="70">
        <f t="shared" ca="1" si="21"/>
        <v>0</v>
      </c>
      <c r="K128" s="115">
        <f t="shared" ca="1" si="22"/>
        <v>0</v>
      </c>
      <c r="L128" s="3"/>
      <c r="M128" s="3"/>
      <c r="N128" s="3"/>
      <c r="O128" s="3"/>
      <c r="P128" s="3"/>
      <c r="Q128" s="3"/>
      <c r="R128" s="3"/>
      <c r="S128" s="3"/>
    </row>
    <row r="129" spans="1:19" ht="19.95" customHeight="1" x14ac:dyDescent="0.3">
      <c r="A129" s="108" t="s">
        <v>147</v>
      </c>
      <c r="B129" s="109" t="s">
        <v>54</v>
      </c>
      <c r="C129" s="110">
        <f ca="1">VLOOKUP(B129,'Fuel and Mileage Auto Entries'!$J$4:$M$64,4,0)</f>
        <v>0</v>
      </c>
      <c r="D129" s="111">
        <f t="shared" ca="1" si="19"/>
        <v>0</v>
      </c>
      <c r="E129" s="112">
        <f t="shared" ca="1" si="18"/>
        <v>0</v>
      </c>
      <c r="F129" s="113">
        <f t="shared" ca="1" si="20"/>
        <v>0</v>
      </c>
      <c r="G129" s="61"/>
      <c r="H129" s="62" t="s">
        <v>54</v>
      </c>
      <c r="I129" s="63" t="s">
        <v>257</v>
      </c>
      <c r="J129" s="64">
        <f t="shared" ca="1" si="21"/>
        <v>0</v>
      </c>
      <c r="K129" s="65">
        <f t="shared" ca="1" si="22"/>
        <v>0</v>
      </c>
      <c r="L129" s="3"/>
      <c r="M129" s="3"/>
      <c r="N129" s="3"/>
      <c r="O129" s="3"/>
      <c r="P129" s="3"/>
      <c r="Q129" s="3"/>
      <c r="R129" s="3"/>
      <c r="S129" s="3"/>
    </row>
    <row r="130" spans="1:19" ht="19.95" customHeight="1" x14ac:dyDescent="0.3">
      <c r="A130" s="99" t="s">
        <v>241</v>
      </c>
      <c r="B130" s="100"/>
      <c r="C130" s="56">
        <f ca="1">SUM(C69:C129)</f>
        <v>230569</v>
      </c>
      <c r="D130" s="56">
        <f ca="1">SUM(D69:D129)</f>
        <v>67822.081050000008</v>
      </c>
      <c r="E130" s="56">
        <f ca="1">SUM(E69:E129)</f>
        <v>67822</v>
      </c>
      <c r="F130" s="56">
        <f ca="1">SUM(F69:F129)</f>
        <v>1</v>
      </c>
      <c r="G130" s="73"/>
      <c r="H130" s="100"/>
      <c r="I130" s="56">
        <f>SUM(I69:I129)</f>
        <v>0</v>
      </c>
      <c r="J130" s="56">
        <f ca="1">SUM(J69:J129)</f>
        <v>67821</v>
      </c>
      <c r="K130" s="56">
        <f ca="1">SUM(K69:K129)</f>
        <v>1</v>
      </c>
      <c r="L130" s="3"/>
      <c r="M130" s="3"/>
      <c r="N130" s="3"/>
      <c r="O130" s="3"/>
      <c r="P130" s="3"/>
      <c r="Q130" s="3"/>
      <c r="R130" s="3"/>
      <c r="S130" s="3"/>
    </row>
    <row r="131" spans="1:19" ht="19.95" customHeight="1" x14ac:dyDescent="0.3">
      <c r="L131" s="3"/>
    </row>
    <row r="132" spans="1:19" ht="19.95" customHeight="1" x14ac:dyDescent="0.3">
      <c r="L132" s="3"/>
    </row>
  </sheetData>
  <mergeCells count="83">
    <mergeCell ref="M121:M122"/>
    <mergeCell ref="N121:N122"/>
    <mergeCell ref="M115:M116"/>
    <mergeCell ref="N115:N116"/>
    <mergeCell ref="M118:M119"/>
    <mergeCell ref="N118:N119"/>
    <mergeCell ref="P118:P119"/>
    <mergeCell ref="Q118:Q119"/>
    <mergeCell ref="N94:N95"/>
    <mergeCell ref="M98:S99"/>
    <mergeCell ref="M100:M101"/>
    <mergeCell ref="N100:N101"/>
    <mergeCell ref="O100:O101"/>
    <mergeCell ref="P100:P101"/>
    <mergeCell ref="Q100:Q101"/>
    <mergeCell ref="R100:R101"/>
    <mergeCell ref="R84:R86"/>
    <mergeCell ref="M90:S91"/>
    <mergeCell ref="M92:M93"/>
    <mergeCell ref="N92:N93"/>
    <mergeCell ref="O92:O93"/>
    <mergeCell ref="P92:P93"/>
    <mergeCell ref="Q92:Q93"/>
    <mergeCell ref="R92:R93"/>
    <mergeCell ref="M84:M86"/>
    <mergeCell ref="N84:N86"/>
    <mergeCell ref="O84:O86"/>
    <mergeCell ref="P84:P86"/>
    <mergeCell ref="Q84:Q86"/>
    <mergeCell ref="M77:N78"/>
    <mergeCell ref="O77:P78"/>
    <mergeCell ref="M80:N80"/>
    <mergeCell ref="O80:P80"/>
    <mergeCell ref="M82:S83"/>
    <mergeCell ref="M75:N75"/>
    <mergeCell ref="O75:P75"/>
    <mergeCell ref="M50:M51"/>
    <mergeCell ref="N50:N51"/>
    <mergeCell ref="M53:M54"/>
    <mergeCell ref="N53:N54"/>
    <mergeCell ref="P53:P54"/>
    <mergeCell ref="M56:M57"/>
    <mergeCell ref="N56:N57"/>
    <mergeCell ref="M70:S71"/>
    <mergeCell ref="M72:N73"/>
    <mergeCell ref="O72:P73"/>
    <mergeCell ref="Q53:Q54"/>
    <mergeCell ref="N29:N30"/>
    <mergeCell ref="M33:S34"/>
    <mergeCell ref="M35:M36"/>
    <mergeCell ref="N35:N36"/>
    <mergeCell ref="O35:O36"/>
    <mergeCell ref="P35:P36"/>
    <mergeCell ref="Q35:Q36"/>
    <mergeCell ref="R35:R36"/>
    <mergeCell ref="M19:M21"/>
    <mergeCell ref="N19:N21"/>
    <mergeCell ref="O19:O21"/>
    <mergeCell ref="P19:P21"/>
    <mergeCell ref="Q19:Q21"/>
    <mergeCell ref="M25:S26"/>
    <mergeCell ref="M27:M28"/>
    <mergeCell ref="N27:N28"/>
    <mergeCell ref="O27:O28"/>
    <mergeCell ref="P27:P28"/>
    <mergeCell ref="Q27:Q28"/>
    <mergeCell ref="R27:R28"/>
    <mergeCell ref="A67:F67"/>
    <mergeCell ref="H67:K67"/>
    <mergeCell ref="A1:S1"/>
    <mergeCell ref="M5:S6"/>
    <mergeCell ref="M7:N8"/>
    <mergeCell ref="O7:P8"/>
    <mergeCell ref="M10:N10"/>
    <mergeCell ref="O10:P10"/>
    <mergeCell ref="H2:K2"/>
    <mergeCell ref="A2:F2"/>
    <mergeCell ref="M12:N13"/>
    <mergeCell ref="O12:P13"/>
    <mergeCell ref="M15:N15"/>
    <mergeCell ref="O15:P15"/>
    <mergeCell ref="M17:S18"/>
    <mergeCell ref="R19:R21"/>
  </mergeCells>
  <conditionalFormatting sqref="M37:M46">
    <cfRule type="expression" dxfId="2" priority="3">
      <formula>O37=P37</formula>
    </cfRule>
  </conditionalFormatting>
  <conditionalFormatting sqref="O102:P111">
    <cfRule type="containsBlanks" dxfId="1" priority="2">
      <formula>LEN(TRIM(O102))=0</formula>
    </cfRule>
  </conditionalFormatting>
  <conditionalFormatting sqref="M102:M111">
    <cfRule type="expression" dxfId="0" priority="1">
      <formula>O102=P102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FINAL RETURN</vt:lpstr>
      <vt:lpstr>CT</vt:lpstr>
      <vt:lpstr>WDT</vt:lpstr>
      <vt:lpstr>Jurisdiction_Abb</vt:lpstr>
      <vt:lpstr>Tax_Rate</vt:lpstr>
      <vt:lpstr>Fuel and Mileage Auto Entries</vt:lpstr>
      <vt:lpstr>PERCENTAGE ADJUSTER</vt:lpstr>
      <vt:lpstr>'FINAL RETURN'!Print_Titles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2025-10-10T13:27:26Z</dcterms:modified>
</cp:coreProperties>
</file>